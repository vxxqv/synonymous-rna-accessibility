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nical valid KBM7 K562 Fc" sheetId="1" r:id="rId4"/>
    <sheet state="visible" name="validation KBM7" sheetId="2" r:id="rId5"/>
    <sheet state="visible" name="validation K562" sheetId="3" r:id="rId6"/>
    <sheet state="visible" name="names" sheetId="4" r:id="rId7"/>
  </sheets>
  <definedNames/>
  <calcPr/>
  <extLst>
    <ext uri="GoogleSheetsCustomDataVersion2">
      <go:sheetsCustomData xmlns:go="http://customooxmlschemas.google.com/" r:id="rId8" roundtripDataChecksum="ZdLr9HjdwpDYxRkEbIva9bjOX9wvBw1XtGC4IfozweQ="/>
    </ext>
  </extLst>
</workbook>
</file>

<file path=xl/sharedStrings.xml><?xml version="1.0" encoding="utf-8"?>
<sst xmlns="http://schemas.openxmlformats.org/spreadsheetml/2006/main" count="223" uniqueCount="123">
  <si>
    <t>KBM7</t>
  </si>
  <si>
    <t>Paper_name</t>
  </si>
  <si>
    <t>gDNA_1_RPM</t>
  </si>
  <si>
    <t>gDNA_2_RPM</t>
  </si>
  <si>
    <t>gDNA_3_RPM</t>
  </si>
  <si>
    <t>cDNA_1_RPM</t>
  </si>
  <si>
    <t>cDNA_2_RPM</t>
  </si>
  <si>
    <t>cDNA_3_RPM</t>
  </si>
  <si>
    <t>FC1</t>
  </si>
  <si>
    <t>FC2</t>
  </si>
  <si>
    <t>FC3</t>
  </si>
  <si>
    <t>FC average</t>
  </si>
  <si>
    <t>Synonymous_edit_29560141</t>
  </si>
  <si>
    <t>E1206E</t>
  </si>
  <si>
    <r>
      <rPr>
        <rFont val="Calibri"/>
        <color rgb="FF000000"/>
        <sz val="12.0"/>
      </rPr>
      <t>E1206E_(</t>
    </r>
    <r>
      <rPr>
        <rFont val="Calibri (Body)"/>
        <color rgb="FF000000"/>
        <sz val="12.0"/>
        <u/>
      </rPr>
      <t>G/A</t>
    </r>
    <r>
      <rPr>
        <rFont val="Calibri (Body)"/>
        <color rgb="FF000000"/>
        <sz val="12.0"/>
      </rPr>
      <t>)AG(A/G)</t>
    </r>
  </si>
  <si>
    <t>Synonymous_edit_29560144</t>
  </si>
  <si>
    <t>R1207R</t>
  </si>
  <si>
    <t>R1207R_(A/G)TT(G/A)</t>
  </si>
  <si>
    <t>P-0039704-T01-IM6_R1207I</t>
  </si>
  <si>
    <t>R1207I</t>
  </si>
  <si>
    <t>R1207I_(G/T)ATT(G/A)</t>
  </si>
  <si>
    <t>MB-6131_R1207T</t>
  </si>
  <si>
    <t>R1207T</t>
  </si>
  <si>
    <t>R1207T_(G/C)ATT(G/A)</t>
  </si>
  <si>
    <t>P-3897_E1206*</t>
  </si>
  <si>
    <t>E1206*</t>
  </si>
  <si>
    <r>
      <rPr>
        <rFont val="Calibri"/>
        <color rgb="FF000000"/>
        <sz val="12.0"/>
      </rPr>
      <t>E1206*_(</t>
    </r>
    <r>
      <rPr>
        <rFont val="Calibri (Body)"/>
        <color rgb="FF000000"/>
        <sz val="12.0"/>
        <u/>
      </rPr>
      <t>G/T</t>
    </r>
    <r>
      <rPr>
        <rFont val="Calibri (Body)"/>
        <color rgb="FF000000"/>
        <sz val="12.0"/>
      </rPr>
      <t>)AGAG(A/G)</t>
    </r>
  </si>
  <si>
    <t>R1207R_wo_marker</t>
  </si>
  <si>
    <t>A&gt;G</t>
  </si>
  <si>
    <t>R1207R_(A/G)TTG</t>
  </si>
  <si>
    <t>K562</t>
  </si>
  <si>
    <r>
      <rPr>
        <rFont val="Calibri"/>
        <color rgb="FF000000"/>
        <sz val="12.0"/>
      </rPr>
      <t>E1206E_(</t>
    </r>
    <r>
      <rPr>
        <rFont val="Calibri (Body)"/>
        <color rgb="FF000000"/>
        <sz val="12.0"/>
        <u/>
      </rPr>
      <t>G/A</t>
    </r>
    <r>
      <rPr>
        <rFont val="Calibri (Body)"/>
        <color rgb="FF000000"/>
        <sz val="12.0"/>
      </rPr>
      <t>)AG(A/G)</t>
    </r>
  </si>
  <si>
    <r>
      <rPr>
        <rFont val="Calibri"/>
        <color rgb="FF000000"/>
        <sz val="12.0"/>
      </rPr>
      <t>E1206*_(</t>
    </r>
    <r>
      <rPr>
        <rFont val="Calibri (Body)"/>
        <color rgb="FF000000"/>
        <sz val="12.0"/>
        <u/>
      </rPr>
      <t>G/T</t>
    </r>
    <r>
      <rPr>
        <rFont val="Calibri (Body)"/>
        <color rgb="FF000000"/>
        <sz val="12.0"/>
      </rPr>
      <t>)AGAG(A/G)</t>
    </r>
  </si>
  <si>
    <t>codon</t>
  </si>
  <si>
    <t>Fc1</t>
  </si>
  <si>
    <t>Fc2</t>
  </si>
  <si>
    <t>Fc3</t>
  </si>
  <si>
    <t>Fc average</t>
  </si>
  <si>
    <t>E1206E_wo_marker</t>
  </si>
  <si>
    <t>Synonymous_edit_29560141_wo_marker</t>
  </si>
  <si>
    <r>
      <rPr>
        <rFont val="Calibri"/>
        <color rgb="FF000000"/>
        <sz val="12.0"/>
      </rPr>
      <t>E1206E_(</t>
    </r>
    <r>
      <rPr>
        <rFont val="Calibri (Body)"/>
        <color rgb="FF000000"/>
        <sz val="12.0"/>
        <u/>
      </rPr>
      <t>G/A</t>
    </r>
    <r>
      <rPr>
        <rFont val="Calibri (Body)"/>
        <color rgb="FF000000"/>
        <sz val="12.0"/>
      </rPr>
      <t>)AGA</t>
    </r>
  </si>
  <si>
    <t>D1217E_wo_marker</t>
  </si>
  <si>
    <t>TCGA-RD-A8N1-01_D1217E_wo_marker</t>
  </si>
  <si>
    <t>D1217E_(T/G)CAA</t>
  </si>
  <si>
    <t>D1217N_wo_marker</t>
  </si>
  <si>
    <t>Sample82_D1217N_wo_marker</t>
  </si>
  <si>
    <t>D1217N_(T/C)CAA</t>
  </si>
  <si>
    <t>E1206*_wo_marker</t>
  </si>
  <si>
    <t>P-3897_E1206*_wo_marker</t>
  </si>
  <si>
    <r>
      <rPr>
        <rFont val="Calibri"/>
        <color rgb="FF000000"/>
        <sz val="12.0"/>
      </rPr>
      <t>E1206*_(</t>
    </r>
    <r>
      <rPr>
        <rFont val="Calibri (Body)"/>
        <color rgb="FF000000"/>
        <sz val="12.0"/>
        <u/>
      </rPr>
      <t>G/T</t>
    </r>
    <r>
      <rPr>
        <rFont val="Calibri (Body)"/>
        <color rgb="FF000000"/>
        <sz val="12.0"/>
      </rPr>
      <t>)AGAGA</t>
    </r>
  </si>
  <si>
    <t>Q1218*_wo_marker</t>
  </si>
  <si>
    <t>SD7357_Q1218*_wo_marker</t>
  </si>
  <si>
    <r>
      <rPr>
        <rFont val="Calibri"/>
        <color theme="1"/>
        <sz val="12.0"/>
      </rPr>
      <t>Q1218*_(</t>
    </r>
    <r>
      <rPr>
        <rFont val="Calibri (Body)"/>
        <color rgb="FF000000"/>
        <sz val="12.0"/>
        <u/>
      </rPr>
      <t>C/T</t>
    </r>
    <r>
      <rPr>
        <rFont val="Aptos Narrow"/>
        <color theme="1"/>
        <sz val="12.0"/>
      </rPr>
      <t>)AAGG</t>
    </r>
  </si>
  <si>
    <t>R1176*_wo_marker</t>
  </si>
  <si>
    <t>STOP_29560049_wo_marker</t>
  </si>
  <si>
    <t>R1176*_(A/T)GAGCT</t>
  </si>
  <si>
    <t>P1232A_wo_marker</t>
  </si>
  <si>
    <t>TCGA-EB-A3Y7-01_P1232A_wo_marker</t>
  </si>
  <si>
    <r>
      <rPr>
        <rFont val="Calibri"/>
        <color theme="1"/>
        <sz val="12.0"/>
      </rPr>
      <t>P1232A_</t>
    </r>
    <r>
      <rPr>
        <rFont val="Calibri"/>
        <color theme="1"/>
        <sz val="12.0"/>
        <u/>
      </rPr>
      <t>(C/G)</t>
    </r>
    <r>
      <rPr>
        <rFont val="Calibri"/>
        <color theme="1"/>
        <sz val="12.0"/>
      </rPr>
      <t>CTTGT</t>
    </r>
  </si>
  <si>
    <t>R1204Q_wo_marker</t>
  </si>
  <si>
    <t>P-0038530-T01-IM6_R1204Q_wo_marker</t>
  </si>
  <si>
    <r>
      <rPr>
        <rFont val="Calibri"/>
        <color theme="1"/>
        <sz val="12.0"/>
      </rPr>
      <t>R1204Q_</t>
    </r>
    <r>
      <rPr>
        <rFont val="Calibri"/>
        <color theme="1"/>
        <sz val="12.0"/>
        <u/>
      </rPr>
      <t>(G/A)</t>
    </r>
    <r>
      <rPr>
        <rFont val="Calibri"/>
        <color theme="1"/>
        <sz val="12.0"/>
      </rPr>
      <t>GTTT</t>
    </r>
  </si>
  <si>
    <t>K1171K_wo_marker</t>
  </si>
  <si>
    <t>Synonymous_edit_29560036_wo_marker</t>
  </si>
  <si>
    <r>
      <rPr>
        <rFont val="Calibri"/>
        <color theme="1"/>
        <sz val="12.0"/>
      </rPr>
      <t>K1171K_(</t>
    </r>
    <r>
      <rPr>
        <rFont val="Calibri (Body)"/>
        <color rgb="FF000000"/>
        <sz val="12.0"/>
        <u/>
      </rPr>
      <t>G/A</t>
    </r>
    <r>
      <rPr>
        <rFont val="Aptos Narrow"/>
        <color theme="1"/>
        <sz val="12.0"/>
      </rPr>
      <t>)GA</t>
    </r>
  </si>
  <si>
    <t>R1207R_marker_GtoC</t>
  </si>
  <si>
    <t>R1207R_(A/G)TT(G/C)</t>
  </si>
  <si>
    <t>R1207R_marker_GtoT</t>
  </si>
  <si>
    <t>R1207R_(A/G)TT(G/T)</t>
  </si>
  <si>
    <t>R1207R_wo_intended_edit</t>
  </si>
  <si>
    <t>R1207R_ATT(G/A)</t>
  </si>
  <si>
    <t>K562_gDNA_1_RPM</t>
  </si>
  <si>
    <t>K562_gDNA_2_RPM</t>
  </si>
  <si>
    <t>K562_gDNA_3_RPM</t>
  </si>
  <si>
    <t>K562_cDNA_1_RPM</t>
  </si>
  <si>
    <t>K562_cDNA_2_RPM</t>
  </si>
  <si>
    <t>K562_cDNA_3_RPM</t>
  </si>
  <si>
    <t>K562_Fc1</t>
  </si>
  <si>
    <t>K562_Fc2</t>
  </si>
  <si>
    <t>K562_Fc3</t>
  </si>
  <si>
    <r>
      <rPr>
        <rFont val="Calibri"/>
        <color rgb="FF000000"/>
        <sz val="12.0"/>
      </rPr>
      <t>E1206E_(</t>
    </r>
    <r>
      <rPr>
        <rFont val="Calibri (Body)"/>
        <color rgb="FF000000"/>
        <sz val="12.0"/>
        <u/>
      </rPr>
      <t>G/A</t>
    </r>
    <r>
      <rPr>
        <rFont val="Calibri (Body)"/>
        <color rgb="FF000000"/>
        <sz val="12.0"/>
      </rPr>
      <t>)AGA</t>
    </r>
  </si>
  <si>
    <r>
      <rPr>
        <rFont val="Calibri"/>
        <color rgb="FF000000"/>
        <sz val="12.0"/>
      </rPr>
      <t>E1206E_(</t>
    </r>
    <r>
      <rPr>
        <rFont val="Calibri (Body)"/>
        <color rgb="FF000000"/>
        <sz val="12.0"/>
        <u/>
      </rPr>
      <t>G/A</t>
    </r>
    <r>
      <rPr>
        <rFont val="Calibri (Body)"/>
        <color rgb="FF000000"/>
        <sz val="12.0"/>
      </rPr>
      <t>)AG(A/G)</t>
    </r>
  </si>
  <si>
    <t>E1206E_marker</t>
  </si>
  <si>
    <r>
      <rPr>
        <rFont val="Calibri"/>
        <color rgb="FF000000"/>
        <sz val="12.0"/>
      </rPr>
      <t xml:space="preserve">D1217E_ </t>
    </r>
    <r>
      <rPr>
        <rFont val="Calibri"/>
        <color rgb="FF000000"/>
        <sz val="12.0"/>
        <u/>
      </rPr>
      <t>(T/G)</t>
    </r>
    <r>
      <rPr>
        <rFont val="Calibri"/>
        <color rgb="FF000000"/>
        <sz val="12.0"/>
      </rPr>
      <t>CAA</t>
    </r>
  </si>
  <si>
    <r>
      <rPr>
        <rFont val="Calibri"/>
        <color rgb="FF000000"/>
        <sz val="12.0"/>
      </rPr>
      <t>D1217N_</t>
    </r>
    <r>
      <rPr>
        <rFont val="Calibri"/>
        <color rgb="FF000000"/>
        <sz val="12.0"/>
        <u/>
      </rPr>
      <t>(T/C)</t>
    </r>
    <r>
      <rPr>
        <rFont val="Calibri"/>
        <color rgb="FF000000"/>
        <sz val="12.0"/>
      </rPr>
      <t>CAA</t>
    </r>
  </si>
  <si>
    <r>
      <rPr>
        <rFont val="Calibri"/>
        <color rgb="FF000000"/>
        <sz val="12.0"/>
      </rPr>
      <t>E1206*_(</t>
    </r>
    <r>
      <rPr>
        <rFont val="Calibri (Body)"/>
        <color rgb="FF000000"/>
        <sz val="12.0"/>
        <u/>
      </rPr>
      <t>G/T</t>
    </r>
    <r>
      <rPr>
        <rFont val="Calibri (Body)"/>
        <color rgb="FF000000"/>
        <sz val="12.0"/>
      </rPr>
      <t>)AGAGA</t>
    </r>
  </si>
  <si>
    <r>
      <rPr>
        <rFont val="Calibri"/>
        <color rgb="FF000000"/>
        <sz val="12.0"/>
      </rPr>
      <t>E1206*_(</t>
    </r>
    <r>
      <rPr>
        <rFont val="Calibri (Body)"/>
        <color rgb="FF000000"/>
        <sz val="12.0"/>
        <u/>
      </rPr>
      <t>G/T</t>
    </r>
    <r>
      <rPr>
        <rFont val="Calibri (Body)"/>
        <color rgb="FF000000"/>
        <sz val="12.0"/>
      </rPr>
      <t>)AGAG(A/G)</t>
    </r>
  </si>
  <si>
    <t>E1206*_marker</t>
  </si>
  <si>
    <r>
      <rPr>
        <rFont val="Calibri"/>
        <color theme="1"/>
        <sz val="12.0"/>
      </rPr>
      <t>Q1218*_(</t>
    </r>
    <r>
      <rPr>
        <rFont val="Calibri (Body)"/>
        <color rgb="FF000000"/>
        <sz val="12.0"/>
        <u/>
      </rPr>
      <t>C/T</t>
    </r>
    <r>
      <rPr>
        <rFont val="Aptos Narrow"/>
        <color theme="1"/>
        <sz val="12.0"/>
      </rPr>
      <t>)AAGG</t>
    </r>
  </si>
  <si>
    <r>
      <rPr>
        <rFont val="Calibri"/>
        <color rgb="FF000000"/>
        <sz val="12.0"/>
      </rPr>
      <t>P1232A_</t>
    </r>
    <r>
      <rPr>
        <rFont val="Calibri (Body)"/>
        <color rgb="FF000000"/>
        <sz val="12.0"/>
        <u/>
      </rPr>
      <t>(C/G)</t>
    </r>
    <r>
      <rPr>
        <rFont val="Calibri (Body)"/>
        <color rgb="FF000000"/>
        <sz val="12.0"/>
      </rPr>
      <t>CTTGT</t>
    </r>
  </si>
  <si>
    <r>
      <rPr>
        <rFont val="Calibri"/>
        <color rgb="FF000000"/>
        <sz val="12.0"/>
      </rPr>
      <t>R1204Q_</t>
    </r>
    <r>
      <rPr>
        <rFont val="Calibri (Body)"/>
        <color rgb="FF000000"/>
        <sz val="12.0"/>
        <u/>
      </rPr>
      <t>(G/A)</t>
    </r>
    <r>
      <rPr>
        <rFont val="Calibri (Body)"/>
        <color rgb="FF000000"/>
        <sz val="12.0"/>
      </rPr>
      <t>GTTT</t>
    </r>
  </si>
  <si>
    <t>K1171K_(G/A)GA</t>
  </si>
  <si>
    <t>Synonymous_edit_29560144_marker_GtoC</t>
  </si>
  <si>
    <r>
      <rPr>
        <rFont val="Calibri"/>
        <color rgb="FF000000"/>
        <sz val="12.0"/>
      </rPr>
      <t>R1207R_</t>
    </r>
    <r>
      <rPr>
        <rFont val="Calibri (Body)"/>
        <color rgb="FF000000"/>
        <sz val="12.0"/>
        <u/>
      </rPr>
      <t>(A/G)</t>
    </r>
    <r>
      <rPr>
        <rFont val="Calibri (Body)"/>
        <color rgb="FF000000"/>
        <sz val="12.0"/>
      </rPr>
      <t>TT(G/C)</t>
    </r>
  </si>
  <si>
    <t>GTTC</t>
  </si>
  <si>
    <t>Synonymous_edit_29560144_marker_GtoT</t>
  </si>
  <si>
    <r>
      <rPr>
        <rFont val="Calibri"/>
        <color rgb="FF000000"/>
        <sz val="12.0"/>
      </rPr>
      <t>R1207R_</t>
    </r>
    <r>
      <rPr>
        <rFont val="Calibri"/>
        <color rgb="FF000000"/>
        <sz val="12.0"/>
        <u/>
      </rPr>
      <t>(A/G)</t>
    </r>
    <r>
      <rPr>
        <rFont val="Calibri"/>
        <color rgb="FF000000"/>
        <sz val="12.0"/>
      </rPr>
      <t>TT(G/T)</t>
    </r>
  </si>
  <si>
    <t>GTTT</t>
  </si>
  <si>
    <t>Synonymous_edit_29560144_wo_intended_edit</t>
  </si>
  <si>
    <t>ATTA</t>
  </si>
  <si>
    <t>R1207R_wo_intended_edit_ATTA</t>
  </si>
  <si>
    <t>Synonymous_edit_29560144_wo_marker</t>
  </si>
  <si>
    <r>
      <rPr>
        <rFont val="Calibri"/>
        <color rgb="FF000000"/>
        <sz val="12.0"/>
      </rPr>
      <t>R1207R_</t>
    </r>
    <r>
      <rPr>
        <rFont val="Calibri (Body)"/>
        <color rgb="FF000000"/>
        <sz val="12.0"/>
        <u/>
      </rPr>
      <t>(A/G)</t>
    </r>
    <r>
      <rPr>
        <rFont val="Calibri (Body)"/>
        <color rgb="FF000000"/>
        <sz val="12.0"/>
      </rPr>
      <t>TTG</t>
    </r>
  </si>
  <si>
    <t>GTTG</t>
  </si>
  <si>
    <t>R1207R_wo_marker (AzuG)</t>
  </si>
  <si>
    <r>
      <rPr>
        <rFont val="Calibri"/>
        <color rgb="FF000000"/>
        <sz val="12.0"/>
      </rPr>
      <t>R1207R_</t>
    </r>
    <r>
      <rPr>
        <rFont val="Calibri (Body)"/>
        <color rgb="FF000000"/>
        <sz val="12.0"/>
        <u/>
      </rPr>
      <t>(A/G)</t>
    </r>
    <r>
      <rPr>
        <rFont val="Calibri (Body)"/>
        <color rgb="FF000000"/>
        <sz val="12.0"/>
      </rPr>
      <t>TT(G/A)</t>
    </r>
  </si>
  <si>
    <t>GTTA</t>
  </si>
  <si>
    <t>R1207R_marker</t>
  </si>
  <si>
    <r>
      <rPr>
        <rFont val="Calibri"/>
        <color rgb="FF000000"/>
        <sz val="12.0"/>
      </rPr>
      <t>E1206E_(</t>
    </r>
    <r>
      <rPr>
        <rFont val="Calibri (Body)"/>
        <color rgb="FF000000"/>
        <sz val="12.0"/>
        <u/>
      </rPr>
      <t>G/A</t>
    </r>
    <r>
      <rPr>
        <rFont val="Calibri (Body)"/>
        <color rgb="FF000000"/>
        <sz val="12.0"/>
      </rPr>
      <t>)AGA</t>
    </r>
  </si>
  <si>
    <r>
      <rPr>
        <rFont val="Calibri"/>
        <color rgb="FF000000"/>
        <sz val="12.0"/>
      </rPr>
      <t>E1206E_(</t>
    </r>
    <r>
      <rPr>
        <rFont val="Calibri (Body)"/>
        <color rgb="FF000000"/>
        <sz val="12.0"/>
        <u/>
      </rPr>
      <t>G/A</t>
    </r>
    <r>
      <rPr>
        <rFont val="Calibri (Body)"/>
        <color rgb="FF000000"/>
        <sz val="12.0"/>
      </rPr>
      <t>)AG(A/G)</t>
    </r>
  </si>
  <si>
    <r>
      <rPr>
        <rFont val="Calibri"/>
        <color rgb="FF000000"/>
        <sz val="12.0"/>
      </rPr>
      <t xml:space="preserve">D1217E_ </t>
    </r>
    <r>
      <rPr>
        <rFont val="Calibri"/>
        <color rgb="FF000000"/>
        <sz val="12.0"/>
        <u/>
      </rPr>
      <t>(T/G)</t>
    </r>
    <r>
      <rPr>
        <rFont val="Calibri"/>
        <color rgb="FF000000"/>
        <sz val="12.0"/>
      </rPr>
      <t>CAA</t>
    </r>
  </si>
  <si>
    <r>
      <rPr>
        <rFont val="Calibri"/>
        <color rgb="FF000000"/>
        <sz val="12.0"/>
      </rPr>
      <t>D1217N_</t>
    </r>
    <r>
      <rPr>
        <rFont val="Calibri"/>
        <color rgb="FF000000"/>
        <sz val="12.0"/>
        <u/>
      </rPr>
      <t>(T/C)</t>
    </r>
    <r>
      <rPr>
        <rFont val="Calibri"/>
        <color rgb="FF000000"/>
        <sz val="12.0"/>
      </rPr>
      <t>CAA</t>
    </r>
  </si>
  <si>
    <r>
      <rPr>
        <rFont val="Calibri"/>
        <color rgb="FF000000"/>
        <sz val="12.0"/>
      </rPr>
      <t>E1206*_(</t>
    </r>
    <r>
      <rPr>
        <rFont val="Calibri (Body)"/>
        <color rgb="FF000000"/>
        <sz val="12.0"/>
        <u/>
      </rPr>
      <t>G/T</t>
    </r>
    <r>
      <rPr>
        <rFont val="Calibri (Body)"/>
        <color rgb="FF000000"/>
        <sz val="12.0"/>
      </rPr>
      <t>)AGAGA</t>
    </r>
  </si>
  <si>
    <r>
      <rPr>
        <rFont val="Calibri"/>
        <color rgb="FF000000"/>
        <sz val="12.0"/>
      </rPr>
      <t>E1206*_(</t>
    </r>
    <r>
      <rPr>
        <rFont val="Calibri (Body)"/>
        <color rgb="FF000000"/>
        <sz val="12.0"/>
        <u/>
      </rPr>
      <t>G/T</t>
    </r>
    <r>
      <rPr>
        <rFont val="Calibri (Body)"/>
        <color rgb="FF000000"/>
        <sz val="12.0"/>
      </rPr>
      <t>)AGAG(A/G)</t>
    </r>
  </si>
  <si>
    <r>
      <rPr>
        <rFont val="Calibri"/>
        <color theme="1"/>
        <sz val="12.0"/>
      </rPr>
      <t>Q1218*_(</t>
    </r>
    <r>
      <rPr>
        <rFont val="Calibri (Body)"/>
        <color rgb="FF000000"/>
        <sz val="12.0"/>
        <u/>
      </rPr>
      <t>C/T</t>
    </r>
    <r>
      <rPr>
        <rFont val="Aptos Narrow"/>
        <color theme="1"/>
        <sz val="12.0"/>
      </rPr>
      <t>)AAGG</t>
    </r>
  </si>
  <si>
    <r>
      <rPr>
        <rFont val="Calibri"/>
        <color rgb="FF000000"/>
        <sz val="12.0"/>
      </rPr>
      <t>P1232A_</t>
    </r>
    <r>
      <rPr>
        <rFont val="Calibri (Body)"/>
        <color rgb="FF000000"/>
        <sz val="12.0"/>
        <u/>
      </rPr>
      <t>(C/G)</t>
    </r>
    <r>
      <rPr>
        <rFont val="Calibri (Body)"/>
        <color rgb="FF000000"/>
        <sz val="12.0"/>
      </rPr>
      <t>CTTGT</t>
    </r>
  </si>
  <si>
    <r>
      <rPr>
        <rFont val="Calibri"/>
        <color rgb="FF000000"/>
        <sz val="12.0"/>
      </rPr>
      <t>R1204Q_</t>
    </r>
    <r>
      <rPr>
        <rFont val="Calibri (Body)"/>
        <color rgb="FF000000"/>
        <sz val="12.0"/>
        <u/>
      </rPr>
      <t>(G/A)</t>
    </r>
    <r>
      <rPr>
        <rFont val="Calibri (Body)"/>
        <color rgb="FF000000"/>
        <sz val="12.0"/>
      </rPr>
      <t>GTTT</t>
    </r>
  </si>
  <si>
    <r>
      <rPr>
        <rFont val="Calibri"/>
        <color rgb="FF000000"/>
        <sz val="12.0"/>
      </rPr>
      <t>R1207R_</t>
    </r>
    <r>
      <rPr>
        <rFont val="Calibri (Body)"/>
        <color rgb="FF000000"/>
        <sz val="12.0"/>
        <u/>
      </rPr>
      <t>(A/G)</t>
    </r>
    <r>
      <rPr>
        <rFont val="Calibri (Body)"/>
        <color rgb="FF000000"/>
        <sz val="12.0"/>
      </rPr>
      <t>TT(G/C)</t>
    </r>
  </si>
  <si>
    <r>
      <rPr>
        <rFont val="Calibri"/>
        <color rgb="FF000000"/>
        <sz val="12.0"/>
      </rPr>
      <t>R1207R_</t>
    </r>
    <r>
      <rPr>
        <rFont val="Calibri"/>
        <color rgb="FF000000"/>
        <sz val="12.0"/>
        <u/>
      </rPr>
      <t>(A/G)</t>
    </r>
    <r>
      <rPr>
        <rFont val="Calibri"/>
        <color rgb="FF000000"/>
        <sz val="12.0"/>
      </rPr>
      <t>TT(G/T)</t>
    </r>
  </si>
  <si>
    <r>
      <rPr>
        <rFont val="Calibri"/>
        <color rgb="FF000000"/>
        <sz val="12.0"/>
      </rPr>
      <t>R1207R_</t>
    </r>
    <r>
      <rPr>
        <rFont val="Calibri (Body)"/>
        <color rgb="FF000000"/>
        <sz val="12.0"/>
        <u/>
      </rPr>
      <t>(A/G)</t>
    </r>
    <r>
      <rPr>
        <rFont val="Calibri (Body)"/>
        <color rgb="FF000000"/>
        <sz val="12.0"/>
      </rPr>
      <t>TTG</t>
    </r>
  </si>
  <si>
    <r>
      <rPr>
        <rFont val="Calibri"/>
        <color rgb="FF000000"/>
        <sz val="12.0"/>
      </rPr>
      <t>R1207R_</t>
    </r>
    <r>
      <rPr>
        <rFont val="Calibri (Body)"/>
        <color rgb="FF000000"/>
        <sz val="12.0"/>
        <u/>
      </rPr>
      <t>(A/G)</t>
    </r>
    <r>
      <rPr>
        <rFont val="Calibri (Body)"/>
        <color rgb="FF000000"/>
        <sz val="12.0"/>
      </rPr>
      <t>TT(G/A)</t>
    </r>
  </si>
  <si>
    <t>Original</t>
  </si>
  <si>
    <t>ATTG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</si>
</sst>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1">
    <font>
      <sz val="12.0"/>
      <color theme="1"/>
      <name val="Aptos Narrow"/>
      <scheme val="minor"/>
    </font>
    <font>
      <b/>
      <sz val="12.0"/>
      <color theme="1"/>
      <name val="Aptos Narrow"/>
    </font>
    <font>
      <sz val="12.0"/>
      <color theme="1"/>
      <name val="Aptos Narrow"/>
    </font>
    <font>
      <sz val="12.0"/>
      <color theme="1"/>
      <name val="Arial"/>
    </font>
    <font>
      <sz val="12.0"/>
      <color theme="1"/>
      <name val="Calibri"/>
    </font>
    <font>
      <sz val="12.0"/>
      <color rgb="FF000000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Arial"/>
    </font>
    <font>
      <color theme="1"/>
      <name val="Aptos Narrow"/>
      <scheme val="minor"/>
    </font>
    <font>
      <sz val="12.0"/>
      <color rgb="FF000000"/>
      <name val="Aptos Narrow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  <xf borderId="0" fillId="0" fontId="2" numFmtId="2" xfId="0" applyFont="1" applyNumberFormat="1"/>
    <xf borderId="0" fillId="0" fontId="3" numFmtId="2" xfId="0" applyAlignment="1" applyFont="1" applyNumberFormat="1">
      <alignment horizontal="center" readingOrder="0"/>
    </xf>
    <xf borderId="0" fillId="0" fontId="4" numFmtId="2" xfId="0" applyFont="1" applyNumberFormat="1"/>
    <xf borderId="0" fillId="0" fontId="4" numFmtId="0" xfId="0" applyFont="1"/>
    <xf borderId="1" fillId="0" fontId="5" numFmtId="0" xfId="0" applyAlignment="1" applyBorder="1" applyFont="1">
      <alignment horizontal="center"/>
    </xf>
    <xf borderId="1" fillId="0" fontId="2" numFmtId="2" xfId="0" applyBorder="1" applyFont="1" applyNumberFormat="1"/>
    <xf borderId="0" fillId="0" fontId="2" numFmtId="0" xfId="0" applyFont="1"/>
    <xf borderId="0" fillId="0" fontId="1" numFmtId="0" xfId="0" applyFont="1"/>
    <xf borderId="1" fillId="0" fontId="4" numFmtId="2" xfId="0" applyBorder="1" applyFont="1" applyNumberFormat="1"/>
    <xf borderId="1" fillId="0" fontId="4" numFmtId="164" xfId="0" applyBorder="1" applyFont="1" applyNumberFormat="1"/>
    <xf borderId="0" fillId="0" fontId="6" numFmtId="2" xfId="0" applyFont="1" applyNumberFormat="1"/>
    <xf borderId="0" fillId="0" fontId="6" numFmtId="0" xfId="0" applyFont="1"/>
    <xf borderId="0" fillId="0" fontId="7" numFmtId="0" xfId="0" applyAlignment="1" applyFont="1">
      <alignment horizontal="center"/>
    </xf>
    <xf borderId="0" fillId="0" fontId="6" numFmtId="164" xfId="0" applyFont="1" applyNumberFormat="1"/>
    <xf borderId="0" fillId="0" fontId="8" numFmtId="0" xfId="0" applyAlignment="1" applyFont="1">
      <alignment horizontal="center" readingOrder="0"/>
    </xf>
    <xf borderId="0" fillId="0" fontId="9" numFmtId="0" xfId="0" applyFont="1"/>
    <xf borderId="0" fillId="0" fontId="5" numFmtId="0" xfId="0" applyAlignment="1" applyFont="1">
      <alignment horizontal="center"/>
    </xf>
    <xf borderId="0" fillId="0" fontId="5" numFmtId="2" xfId="0" applyFont="1" applyNumberFormat="1"/>
    <xf borderId="0" fillId="0" fontId="4" numFmtId="0" xfId="0" applyAlignment="1" applyFont="1">
      <alignment horizontal="center"/>
    </xf>
    <xf borderId="0" fillId="0" fontId="5" numFmtId="0" xfId="0" applyFont="1"/>
    <xf borderId="1" fillId="0" fontId="3" numFmtId="0" xfId="0" applyAlignment="1" applyBorder="1" applyFont="1">
      <alignment horizontal="center" readingOrder="0"/>
    </xf>
    <xf borderId="1" fillId="0" fontId="2" numFmtId="0" xfId="0" applyBorder="1" applyFont="1"/>
    <xf borderId="1" fillId="0" fontId="10" numFmtId="2" xfId="0" applyBorder="1" applyFont="1" applyNumberFormat="1"/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2" fillId="0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67"/>
    <col customWidth="1" min="2" max="2" width="10.56"/>
    <col customWidth="1" min="3" max="3" width="23.0"/>
    <col customWidth="1" min="4" max="9" width="12.78"/>
    <col customWidth="1" min="10" max="26" width="10.56"/>
  </cols>
  <sheetData>
    <row r="1" ht="15.75" customHeight="1">
      <c r="A1" s="1" t="s">
        <v>0</v>
      </c>
      <c r="B1" s="2"/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ht="15.75" customHeight="1">
      <c r="A2" s="5" t="s">
        <v>12</v>
      </c>
      <c r="B2" s="2" t="s">
        <v>13</v>
      </c>
      <c r="C2" s="6" t="s">
        <v>14</v>
      </c>
      <c r="D2" s="7">
        <v>5520.887933244316</v>
      </c>
      <c r="E2" s="7">
        <v>5216.791767326239</v>
      </c>
      <c r="F2" s="7">
        <v>5224.343744848385</v>
      </c>
      <c r="G2" s="7">
        <v>2217.051779003315</v>
      </c>
      <c r="H2" s="7">
        <v>2071.255575403566</v>
      </c>
      <c r="I2" s="7">
        <v>1981.7420678507037</v>
      </c>
      <c r="J2" s="7">
        <v>0.40157521866242235</v>
      </c>
      <c r="K2" s="7">
        <v>0.39703627589205964</v>
      </c>
      <c r="L2" s="7">
        <v>0.37932842183381554</v>
      </c>
      <c r="M2" s="7">
        <f t="shared" ref="M2:M7" si="1">AVERAGE(J2:L2)</f>
        <v>0.3926466388</v>
      </c>
    </row>
    <row r="3" ht="15.75" customHeight="1">
      <c r="A3" s="5" t="s">
        <v>15</v>
      </c>
      <c r="B3" s="2" t="s">
        <v>16</v>
      </c>
      <c r="C3" s="6" t="s">
        <v>17</v>
      </c>
      <c r="D3" s="7">
        <v>9113.830699009388</v>
      </c>
      <c r="E3" s="7">
        <v>8787.076913224755</v>
      </c>
      <c r="F3" s="7">
        <v>9004.744505644325</v>
      </c>
      <c r="G3" s="7">
        <v>48.9847102391107</v>
      </c>
      <c r="H3" s="7">
        <v>37.355392766192594</v>
      </c>
      <c r="I3" s="7">
        <v>15.495707688970155</v>
      </c>
      <c r="J3" s="7">
        <v>0.005374766314721537</v>
      </c>
      <c r="K3" s="7">
        <v>0.004251173983690965</v>
      </c>
      <c r="L3" s="7">
        <v>0.0017208381291948024</v>
      </c>
      <c r="M3" s="7">
        <f t="shared" si="1"/>
        <v>0.003782259476</v>
      </c>
    </row>
    <row r="4" ht="15.75" customHeight="1">
      <c r="A4" s="5" t="s">
        <v>18</v>
      </c>
      <c r="B4" s="5" t="s">
        <v>19</v>
      </c>
      <c r="C4" s="6" t="s">
        <v>20</v>
      </c>
      <c r="D4" s="7">
        <v>13714.020795525976</v>
      </c>
      <c r="E4" s="7">
        <v>14002.768198077669</v>
      </c>
      <c r="F4" s="7">
        <v>13970.980769553029</v>
      </c>
      <c r="G4" s="7">
        <v>15762.00509895177</v>
      </c>
      <c r="H4" s="7">
        <v>15349.312728588078</v>
      </c>
      <c r="I4" s="7">
        <v>14869.645661209353</v>
      </c>
      <c r="J4" s="7">
        <v>1.1493350734960182</v>
      </c>
      <c r="K4" s="7">
        <v>1.0961627380716954</v>
      </c>
      <c r="L4" s="7">
        <v>1.0643236796671274</v>
      </c>
      <c r="M4" s="7">
        <f t="shared" si="1"/>
        <v>1.10327383</v>
      </c>
    </row>
    <row r="5" ht="15.75" customHeight="1">
      <c r="A5" s="5" t="s">
        <v>21</v>
      </c>
      <c r="B5" s="5" t="s">
        <v>22</v>
      </c>
      <c r="C5" s="6" t="s">
        <v>23</v>
      </c>
      <c r="D5" s="7">
        <v>15294.875194121436</v>
      </c>
      <c r="E5" s="7">
        <v>15768.794481951076</v>
      </c>
      <c r="F5" s="7">
        <v>15272.808002716327</v>
      </c>
      <c r="G5" s="7">
        <v>16890.656997526443</v>
      </c>
      <c r="H5" s="7">
        <v>16883.60533632254</v>
      </c>
      <c r="I5" s="7">
        <v>16930.64575249119</v>
      </c>
      <c r="J5" s="7">
        <v>1.1043344115693303</v>
      </c>
      <c r="K5" s="7">
        <v>1.0706972784538142</v>
      </c>
      <c r="L5" s="7">
        <v>1.108548326508132</v>
      </c>
      <c r="M5" s="7">
        <f t="shared" si="1"/>
        <v>1.094526672</v>
      </c>
    </row>
    <row r="6" ht="15.75" customHeight="1">
      <c r="A6" s="5" t="s">
        <v>24</v>
      </c>
      <c r="B6" s="5" t="s">
        <v>25</v>
      </c>
      <c r="C6" s="6" t="s">
        <v>26</v>
      </c>
      <c r="D6" s="7">
        <v>4429.278384858486</v>
      </c>
      <c r="E6" s="7">
        <v>4408.024380184226</v>
      </c>
      <c r="F6" s="7">
        <v>4788.109268708588</v>
      </c>
      <c r="G6" s="7">
        <v>1509.1190739335188</v>
      </c>
      <c r="H6" s="7">
        <v>1357.3332681161191</v>
      </c>
      <c r="I6" s="7">
        <v>1461.5145884858898</v>
      </c>
      <c r="J6" s="7">
        <v>0.34071443309873034</v>
      </c>
      <c r="K6" s="7">
        <v>0.3079232669895967</v>
      </c>
      <c r="L6" s="7">
        <v>0.3052383532759431</v>
      </c>
      <c r="M6" s="7">
        <f t="shared" si="1"/>
        <v>0.3179586845</v>
      </c>
    </row>
    <row r="7" ht="15.75" customHeight="1">
      <c r="A7" s="5" t="s">
        <v>27</v>
      </c>
      <c r="B7" s="5" t="s">
        <v>28</v>
      </c>
      <c r="C7" s="6" t="s">
        <v>29</v>
      </c>
      <c r="D7" s="7">
        <v>8037.369768673848</v>
      </c>
      <c r="E7" s="7">
        <v>8313.082219522074</v>
      </c>
      <c r="F7" s="7">
        <v>8643.73356704645</v>
      </c>
      <c r="G7" s="7">
        <v>8696.110247769135</v>
      </c>
      <c r="H7" s="7">
        <v>8752.7495405624</v>
      </c>
      <c r="I7" s="7">
        <v>9222.136304895876</v>
      </c>
      <c r="J7" s="7">
        <v>1.0819597079709795</v>
      </c>
      <c r="K7" s="7">
        <v>1.052888604903706</v>
      </c>
      <c r="L7" s="7">
        <v>1.0669158452609575</v>
      </c>
      <c r="M7" s="7">
        <f t="shared" si="1"/>
        <v>1.067254719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ht="15.75" customHeight="1">
      <c r="A9" s="9" t="s">
        <v>30</v>
      </c>
      <c r="B9" s="8"/>
      <c r="C9" s="8"/>
      <c r="D9" s="4" t="s">
        <v>2</v>
      </c>
      <c r="E9" s="4" t="s">
        <v>3</v>
      </c>
      <c r="F9" s="4" t="s">
        <v>4</v>
      </c>
      <c r="G9" s="4" t="s">
        <v>5</v>
      </c>
      <c r="H9" s="4" t="s">
        <v>6</v>
      </c>
      <c r="I9" s="4" t="s">
        <v>7</v>
      </c>
      <c r="J9" s="4" t="s">
        <v>8</v>
      </c>
      <c r="K9" s="4" t="s">
        <v>9</v>
      </c>
      <c r="L9" s="4" t="s">
        <v>10</v>
      </c>
      <c r="M9" s="4" t="s">
        <v>11</v>
      </c>
    </row>
    <row r="10" ht="15.75" customHeight="1">
      <c r="A10" s="5" t="s">
        <v>12</v>
      </c>
      <c r="B10" s="2" t="s">
        <v>13</v>
      </c>
      <c r="C10" s="6" t="s">
        <v>31</v>
      </c>
      <c r="D10" s="10">
        <v>4232.785439218089</v>
      </c>
      <c r="E10" s="10">
        <v>3714.2753911189798</v>
      </c>
      <c r="F10" s="10">
        <v>3939.382274062953</v>
      </c>
      <c r="G10" s="10">
        <v>2648.609154010751</v>
      </c>
      <c r="H10" s="10">
        <v>2671.138648162839</v>
      </c>
      <c r="I10" s="10">
        <v>2489.9119697158862</v>
      </c>
      <c r="J10" s="10">
        <v>0.6257366908963903</v>
      </c>
      <c r="K10" s="10">
        <v>0.7191547117237637</v>
      </c>
      <c r="L10" s="10">
        <v>0.6320564485730578</v>
      </c>
      <c r="M10" s="10">
        <v>0.6589826170644039</v>
      </c>
    </row>
    <row r="11" ht="15.75" customHeight="1">
      <c r="A11" s="5" t="s">
        <v>15</v>
      </c>
      <c r="B11" s="2" t="s">
        <v>16</v>
      </c>
      <c r="C11" s="6" t="s">
        <v>17</v>
      </c>
      <c r="D11" s="10">
        <v>3678.626170032292</v>
      </c>
      <c r="E11" s="10">
        <v>3732.919027981252</v>
      </c>
      <c r="F11" s="10">
        <v>3181.512384311686</v>
      </c>
      <c r="G11" s="10">
        <v>0.0</v>
      </c>
      <c r="H11" s="10">
        <v>4.087806074479826</v>
      </c>
      <c r="I11" s="10">
        <v>15.062458996639398</v>
      </c>
      <c r="J11" s="11">
        <v>0.0</v>
      </c>
      <c r="K11" s="11">
        <v>0.001095069580625352</v>
      </c>
      <c r="L11" s="11">
        <v>0.004734370694551965</v>
      </c>
      <c r="M11" s="11">
        <v>0.001943146758392439</v>
      </c>
    </row>
    <row r="12" ht="15.75" customHeight="1">
      <c r="A12" s="5" t="s">
        <v>18</v>
      </c>
      <c r="B12" s="5" t="s">
        <v>19</v>
      </c>
      <c r="C12" s="6" t="s">
        <v>20</v>
      </c>
      <c r="D12" s="10">
        <v>12164.82093643985</v>
      </c>
      <c r="E12" s="10">
        <v>11285.039223062116</v>
      </c>
      <c r="F12" s="10">
        <v>12905.343340938567</v>
      </c>
      <c r="G12" s="10">
        <v>12834.479650463447</v>
      </c>
      <c r="H12" s="10">
        <v>12037.675166551804</v>
      </c>
      <c r="I12" s="10">
        <v>12074.76160464558</v>
      </c>
      <c r="J12" s="10">
        <v>1.0550487933626402</v>
      </c>
      <c r="K12" s="10">
        <v>1.0666932501175184</v>
      </c>
      <c r="L12" s="10">
        <v>0.9356404774092139</v>
      </c>
      <c r="M12" s="10">
        <v>1.019127506963124</v>
      </c>
    </row>
    <row r="13" ht="15.75" customHeight="1">
      <c r="A13" s="5" t="s">
        <v>21</v>
      </c>
      <c r="B13" s="5" t="s">
        <v>22</v>
      </c>
      <c r="C13" s="6" t="s">
        <v>23</v>
      </c>
      <c r="D13" s="10">
        <v>3485.4405496105564</v>
      </c>
      <c r="E13" s="10">
        <v>3597.577256566281</v>
      </c>
      <c r="F13" s="10">
        <v>3104.764744391654</v>
      </c>
      <c r="G13" s="10">
        <v>3196.719109574935</v>
      </c>
      <c r="H13" s="10">
        <v>3520.567526073376</v>
      </c>
      <c r="I13" s="10">
        <v>3461.5491124588075</v>
      </c>
      <c r="J13" s="10">
        <v>0.9171635734633656</v>
      </c>
      <c r="K13" s="10">
        <v>0.9785940022963101</v>
      </c>
      <c r="L13" s="10">
        <v>1.114915105471884</v>
      </c>
      <c r="M13" s="10">
        <v>1.0035575604105198</v>
      </c>
    </row>
    <row r="14" ht="15.75" customHeight="1">
      <c r="A14" s="5" t="s">
        <v>24</v>
      </c>
      <c r="B14" s="5" t="s">
        <v>25</v>
      </c>
      <c r="C14" s="6" t="s">
        <v>32</v>
      </c>
      <c r="D14" s="10">
        <v>4610.552899403175</v>
      </c>
      <c r="E14" s="10">
        <v>4662.505606219166</v>
      </c>
      <c r="F14" s="10">
        <v>5271.00249965067</v>
      </c>
      <c r="G14" s="10">
        <v>1571.4131297124547</v>
      </c>
      <c r="H14" s="10">
        <v>1291.2844581002623</v>
      </c>
      <c r="I14" s="10">
        <v>1563.1285347185358</v>
      </c>
      <c r="J14" s="10">
        <v>0.34082964971855556</v>
      </c>
      <c r="K14" s="10">
        <v>0.27695075720184864</v>
      </c>
      <c r="L14" s="10">
        <v>0.29655241765150564</v>
      </c>
      <c r="M14" s="10">
        <v>0.30477760819063665</v>
      </c>
    </row>
    <row r="15" ht="15.75" customHeight="1">
      <c r="A15" s="5" t="s">
        <v>27</v>
      </c>
      <c r="B15" s="5" t="s">
        <v>28</v>
      </c>
      <c r="C15" s="6" t="s">
        <v>29</v>
      </c>
      <c r="D15" s="10">
        <v>4158.512720156556</v>
      </c>
      <c r="E15" s="10">
        <v>3811.1768065133338</v>
      </c>
      <c r="F15" s="10">
        <v>4485.663110512326</v>
      </c>
      <c r="G15" s="10">
        <v>4269.091745874731</v>
      </c>
      <c r="H15" s="10">
        <v>4702.922966352589</v>
      </c>
      <c r="I15" s="10">
        <v>4458.997272357255</v>
      </c>
      <c r="J15" s="10">
        <v>1.0265910033609353</v>
      </c>
      <c r="K15" s="10">
        <v>1.2339818394977777</v>
      </c>
      <c r="L15" s="10">
        <v>0.994055318578745</v>
      </c>
      <c r="M15" s="10">
        <v>1.0848760538124862</v>
      </c>
    </row>
    <row r="16" ht="15.75" customHeight="1"/>
    <row r="17" ht="15.75" customHeight="1">
      <c r="A17" s="9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ht="15.75" customHeight="1">
      <c r="A18" s="13"/>
      <c r="B18" s="1"/>
      <c r="C18" s="14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ht="15.75" customHeight="1">
      <c r="A19" s="13"/>
      <c r="B19" s="1"/>
      <c r="C19" s="14"/>
      <c r="D19" s="12"/>
      <c r="E19" s="12"/>
      <c r="F19" s="12"/>
      <c r="G19" s="12"/>
      <c r="H19" s="12"/>
      <c r="I19" s="12"/>
      <c r="J19" s="15"/>
      <c r="K19" s="15"/>
      <c r="L19" s="15"/>
      <c r="M19" s="12"/>
    </row>
    <row r="20" ht="15.75" customHeight="1">
      <c r="A20" s="13"/>
      <c r="B20" s="13"/>
      <c r="C20" s="14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ht="15.75" customHeight="1">
      <c r="A21" s="13"/>
      <c r="B21" s="13"/>
      <c r="C21" s="14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ht="15.75" customHeight="1">
      <c r="A22" s="13"/>
      <c r="B22" s="13"/>
      <c r="C22" s="14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ht="15.75" customHeight="1">
      <c r="A23" s="13"/>
      <c r="B23" s="13"/>
      <c r="C23" s="14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18:L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9:L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6:M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7:M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0:M2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5.0"/>
    <col customWidth="1" min="3" max="3" width="32.33"/>
    <col customWidth="1" min="4" max="4" width="21.78"/>
    <col customWidth="1" min="5" max="10" width="12.78"/>
    <col customWidth="1" min="11" max="25" width="10.56"/>
  </cols>
  <sheetData>
    <row r="1" ht="15.75" customHeight="1">
      <c r="A1" s="16" t="s">
        <v>33</v>
      </c>
      <c r="D1" s="16" t="s">
        <v>1</v>
      </c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34</v>
      </c>
      <c r="L1" s="17" t="s">
        <v>35</v>
      </c>
      <c r="M1" s="17" t="s">
        <v>36</v>
      </c>
      <c r="N1" s="17" t="s">
        <v>37</v>
      </c>
    </row>
    <row r="2" ht="15.75" customHeight="1">
      <c r="A2" s="5">
        <v>1206.0</v>
      </c>
      <c r="B2" s="18" t="s">
        <v>38</v>
      </c>
      <c r="C2" s="5" t="s">
        <v>39</v>
      </c>
      <c r="D2" s="18" t="s">
        <v>40</v>
      </c>
      <c r="E2" s="19">
        <v>6731.51607056996</v>
      </c>
      <c r="F2" s="19">
        <v>6172.297148881958</v>
      </c>
      <c r="G2" s="19">
        <v>6108.774229005052</v>
      </c>
      <c r="H2" s="19">
        <v>6602.865967897109</v>
      </c>
      <c r="I2" s="19">
        <v>6741.696706199609</v>
      </c>
      <c r="J2" s="19">
        <v>6633.178773827924</v>
      </c>
      <c r="K2" s="4">
        <f t="shared" ref="K2:M2" si="1">H2/E2</f>
        <v>0.9808883911</v>
      </c>
      <c r="L2" s="4">
        <f t="shared" si="1"/>
        <v>1.092250834</v>
      </c>
      <c r="M2" s="4">
        <f t="shared" si="1"/>
        <v>1.08584448</v>
      </c>
      <c r="N2" s="4">
        <f t="shared" ref="N2:N13" si="3">AVERAGE(K2:M2)</f>
        <v>1.052994568</v>
      </c>
    </row>
    <row r="3" ht="15.75" customHeight="1">
      <c r="A3" s="5">
        <v>1217.0</v>
      </c>
      <c r="B3" s="20" t="s">
        <v>41</v>
      </c>
      <c r="C3" s="21" t="s">
        <v>42</v>
      </c>
      <c r="D3" s="18" t="s">
        <v>43</v>
      </c>
      <c r="E3" s="19">
        <v>187359.50198858723</v>
      </c>
      <c r="F3" s="19">
        <v>190578.91781672035</v>
      </c>
      <c r="G3" s="19">
        <v>191493.89756435537</v>
      </c>
      <c r="H3" s="19">
        <v>160118.31969312136</v>
      </c>
      <c r="I3" s="19">
        <v>161033.33995462672</v>
      </c>
      <c r="J3" s="19">
        <v>161760.33619152728</v>
      </c>
      <c r="K3" s="4">
        <f t="shared" ref="K3:M3" si="2">H3/E3</f>
        <v>0.8546047465</v>
      </c>
      <c r="L3" s="4">
        <f t="shared" si="2"/>
        <v>0.8449693271</v>
      </c>
      <c r="M3" s="4">
        <f t="shared" si="2"/>
        <v>0.844728413</v>
      </c>
      <c r="N3" s="4">
        <f t="shared" si="3"/>
        <v>0.8481008289</v>
      </c>
    </row>
    <row r="4" ht="15.75" customHeight="1">
      <c r="A4" s="5">
        <v>1217.0</v>
      </c>
      <c r="B4" s="18" t="s">
        <v>44</v>
      </c>
      <c r="C4" s="21" t="s">
        <v>45</v>
      </c>
      <c r="D4" s="18" t="s">
        <v>46</v>
      </c>
      <c r="E4" s="19">
        <v>24031.761890989404</v>
      </c>
      <c r="F4" s="19">
        <v>22698.151198974923</v>
      </c>
      <c r="G4" s="19">
        <v>23850.856668427805</v>
      </c>
      <c r="H4" s="19">
        <v>28951.079395424993</v>
      </c>
      <c r="I4" s="19">
        <v>26020.013980353924</v>
      </c>
      <c r="J4" s="19">
        <v>26025.61279906062</v>
      </c>
      <c r="K4" s="4">
        <f t="shared" ref="K4:M4" si="4">H4/E4</f>
        <v>1.204700659</v>
      </c>
      <c r="L4" s="4">
        <f t="shared" si="4"/>
        <v>1.146349487</v>
      </c>
      <c r="M4" s="4">
        <f t="shared" si="4"/>
        <v>1.091181468</v>
      </c>
      <c r="N4" s="4">
        <f t="shared" si="3"/>
        <v>1.147410538</v>
      </c>
    </row>
    <row r="5" ht="15.75" customHeight="1">
      <c r="A5" s="5">
        <v>1206.0</v>
      </c>
      <c r="B5" s="20" t="s">
        <v>47</v>
      </c>
      <c r="C5" s="21" t="s">
        <v>48</v>
      </c>
      <c r="D5" s="18" t="s">
        <v>49</v>
      </c>
      <c r="E5" s="19">
        <v>6978.238912863832</v>
      </c>
      <c r="F5" s="19">
        <v>6783.085582335113</v>
      </c>
      <c r="G5" s="19">
        <v>6339.865315779894</v>
      </c>
      <c r="H5" s="19">
        <v>1712.0154734833634</v>
      </c>
      <c r="I5" s="19">
        <v>2233.2092661518805</v>
      </c>
      <c r="J5" s="19">
        <v>2282.155060458196</v>
      </c>
      <c r="K5" s="4">
        <f t="shared" ref="K5:M5" si="5">H5/E5</f>
        <v>0.2453363227</v>
      </c>
      <c r="L5" s="4">
        <f t="shared" si="5"/>
        <v>0.3292320639</v>
      </c>
      <c r="M5" s="4">
        <f t="shared" si="5"/>
        <v>0.359969013</v>
      </c>
      <c r="N5" s="4">
        <f t="shared" si="3"/>
        <v>0.3115124665</v>
      </c>
    </row>
    <row r="6" ht="15.75" customHeight="1">
      <c r="A6" s="5">
        <v>1218.0</v>
      </c>
      <c r="B6" s="20" t="s">
        <v>50</v>
      </c>
      <c r="C6" s="21" t="s">
        <v>51</v>
      </c>
      <c r="D6" s="20" t="s">
        <v>52</v>
      </c>
      <c r="E6" s="19">
        <v>140122.4478488517</v>
      </c>
      <c r="F6" s="19">
        <v>137042.80869007242</v>
      </c>
      <c r="G6" s="19">
        <v>140976.2727221247</v>
      </c>
      <c r="H6" s="19">
        <v>49682.886883498024</v>
      </c>
      <c r="I6" s="19">
        <v>50025.720164609054</v>
      </c>
      <c r="J6" s="19">
        <v>48764.44820936946</v>
      </c>
      <c r="K6" s="4">
        <f t="shared" ref="K6:M6" si="6">H6/E6</f>
        <v>0.3545676488</v>
      </c>
      <c r="L6" s="4">
        <f t="shared" si="6"/>
        <v>0.3650371781</v>
      </c>
      <c r="M6" s="4">
        <f t="shared" si="6"/>
        <v>0.3459053589</v>
      </c>
      <c r="N6" s="4">
        <f t="shared" si="3"/>
        <v>0.3551700619</v>
      </c>
    </row>
    <row r="7" ht="15.75" customHeight="1">
      <c r="A7" s="5">
        <v>1176.0</v>
      </c>
      <c r="B7" s="20" t="s">
        <v>53</v>
      </c>
      <c r="C7" s="21" t="s">
        <v>54</v>
      </c>
      <c r="D7" s="20" t="s">
        <v>55</v>
      </c>
      <c r="E7" s="19">
        <v>14533.710133225677</v>
      </c>
      <c r="F7" s="19">
        <v>13316.748371990927</v>
      </c>
      <c r="G7" s="19">
        <v>12737.110894941634</v>
      </c>
      <c r="H7" s="19">
        <v>3448.8829969032554</v>
      </c>
      <c r="I7" s="19">
        <v>3534.763070402981</v>
      </c>
      <c r="J7" s="19">
        <v>3619.5079804313054</v>
      </c>
      <c r="K7" s="4">
        <f t="shared" ref="K7:M7" si="7">H7/E7</f>
        <v>0.2373023106</v>
      </c>
      <c r="L7" s="4">
        <f t="shared" si="7"/>
        <v>0.2654374005</v>
      </c>
      <c r="M7" s="4">
        <f t="shared" si="7"/>
        <v>0.2841702495</v>
      </c>
      <c r="N7" s="4">
        <f t="shared" si="3"/>
        <v>0.2623033202</v>
      </c>
    </row>
    <row r="8" ht="15.75" customHeight="1">
      <c r="A8" s="5">
        <v>1232.0</v>
      </c>
      <c r="B8" s="20" t="s">
        <v>56</v>
      </c>
      <c r="C8" s="21" t="s">
        <v>57</v>
      </c>
      <c r="D8" s="20" t="s">
        <v>58</v>
      </c>
      <c r="E8" s="19">
        <v>506436.6464092008</v>
      </c>
      <c r="F8" s="19">
        <v>486533.3888657504</v>
      </c>
      <c r="G8" s="19">
        <v>493038.21089197026</v>
      </c>
      <c r="H8" s="19">
        <v>492078.90946846636</v>
      </c>
      <c r="I8" s="19">
        <v>488330.52242498915</v>
      </c>
      <c r="J8" s="19">
        <v>491902.78916236514</v>
      </c>
      <c r="K8" s="4">
        <f t="shared" ref="K8:M8" si="8">H8/E8</f>
        <v>0.9716494905</v>
      </c>
      <c r="L8" s="4">
        <f t="shared" si="8"/>
        <v>1.003693752</v>
      </c>
      <c r="M8" s="4">
        <f t="shared" si="8"/>
        <v>0.9976970918</v>
      </c>
      <c r="N8" s="4">
        <f t="shared" si="3"/>
        <v>0.9910134447</v>
      </c>
    </row>
    <row r="9" ht="15.75" customHeight="1">
      <c r="A9" s="5">
        <v>1204.0</v>
      </c>
      <c r="B9" s="20" t="s">
        <v>59</v>
      </c>
      <c r="C9" s="21" t="s">
        <v>60</v>
      </c>
      <c r="D9" s="20" t="s">
        <v>61</v>
      </c>
      <c r="E9" s="19">
        <v>34647.956975953515</v>
      </c>
      <c r="F9" s="19">
        <v>34396.63169913652</v>
      </c>
      <c r="G9" s="19">
        <v>34592.06940659585</v>
      </c>
      <c r="H9" s="19">
        <v>43355.96783816803</v>
      </c>
      <c r="I9" s="19">
        <v>43237.69203361767</v>
      </c>
      <c r="J9" s="19">
        <v>41634.664618535586</v>
      </c>
      <c r="K9" s="4">
        <f t="shared" ref="K9:M9" si="9">H9/E9</f>
        <v>1.251328264</v>
      </c>
      <c r="L9" s="4">
        <f t="shared" si="9"/>
        <v>1.257032735</v>
      </c>
      <c r="M9" s="4">
        <f t="shared" si="9"/>
        <v>1.203589879</v>
      </c>
      <c r="N9" s="4">
        <f t="shared" si="3"/>
        <v>1.237316959</v>
      </c>
    </row>
    <row r="10" ht="15.75" customHeight="1">
      <c r="A10" s="5">
        <v>1171.0</v>
      </c>
      <c r="B10" s="20" t="s">
        <v>62</v>
      </c>
      <c r="C10" s="21" t="s">
        <v>63</v>
      </c>
      <c r="D10" s="20" t="s">
        <v>64</v>
      </c>
      <c r="E10" s="19">
        <v>265378.3426162415</v>
      </c>
      <c r="F10" s="19">
        <v>260138.42017960304</v>
      </c>
      <c r="G10" s="19">
        <v>257533.23094847216</v>
      </c>
      <c r="H10" s="19">
        <v>302906.5053327512</v>
      </c>
      <c r="I10" s="19">
        <v>308506.74726163206</v>
      </c>
      <c r="J10" s="19">
        <v>303646.35732338723</v>
      </c>
      <c r="K10" s="4">
        <f t="shared" ref="K10:M10" si="10">H10/E10</f>
        <v>1.141413811</v>
      </c>
      <c r="L10" s="4">
        <f t="shared" si="10"/>
        <v>1.185933039</v>
      </c>
      <c r="M10" s="4">
        <f t="shared" si="10"/>
        <v>1.179056995</v>
      </c>
      <c r="N10" s="4">
        <f t="shared" si="3"/>
        <v>1.168801282</v>
      </c>
    </row>
    <row r="11" ht="15.75" customHeight="1">
      <c r="A11" s="5">
        <v>1207.0</v>
      </c>
      <c r="B11" s="20" t="s">
        <v>65</v>
      </c>
      <c r="C11" s="5"/>
      <c r="D11" s="18" t="s">
        <v>66</v>
      </c>
      <c r="E11" s="19">
        <v>25151.62326079201</v>
      </c>
      <c r="F11" s="19">
        <v>26277.251250310852</v>
      </c>
      <c r="G11" s="19">
        <v>25366.638845832837</v>
      </c>
      <c r="H11" s="19">
        <v>33422.59006815969</v>
      </c>
      <c r="I11" s="19">
        <v>33893.04148551112</v>
      </c>
      <c r="J11" s="19">
        <v>33914.030498938955</v>
      </c>
      <c r="K11" s="4">
        <f t="shared" ref="K11:M11" si="11">H11/E11</f>
        <v>1.328844255</v>
      </c>
      <c r="L11" s="4">
        <f t="shared" si="11"/>
        <v>1.289824463</v>
      </c>
      <c r="M11" s="4">
        <f t="shared" si="11"/>
        <v>1.336954048</v>
      </c>
      <c r="N11" s="4">
        <f t="shared" si="3"/>
        <v>1.318540922</v>
      </c>
    </row>
    <row r="12" ht="15.75" customHeight="1">
      <c r="A12" s="5">
        <v>1207.0</v>
      </c>
      <c r="B12" s="20" t="s">
        <v>67</v>
      </c>
      <c r="C12" s="5"/>
      <c r="D12" s="18" t="s">
        <v>68</v>
      </c>
      <c r="E12" s="19">
        <v>18902.720147533426</v>
      </c>
      <c r="F12" s="19">
        <v>21275.932963678275</v>
      </c>
      <c r="G12" s="19">
        <v>19776.691235495877</v>
      </c>
      <c r="H12" s="19">
        <v>27894.695044472683</v>
      </c>
      <c r="I12" s="19">
        <v>26785.911449707408</v>
      </c>
      <c r="J12" s="19">
        <v>26562.116033331098</v>
      </c>
      <c r="K12" s="4">
        <f t="shared" ref="K12:M12" si="12">H12/E12</f>
        <v>1.475697404</v>
      </c>
      <c r="L12" s="4">
        <f t="shared" si="12"/>
        <v>1.258977056</v>
      </c>
      <c r="M12" s="4">
        <f t="shared" si="12"/>
        <v>1.343102125</v>
      </c>
      <c r="N12" s="4">
        <f t="shared" si="3"/>
        <v>1.359258862</v>
      </c>
    </row>
    <row r="13" ht="15.75" customHeight="1">
      <c r="A13" s="5">
        <v>1207.0</v>
      </c>
      <c r="B13" s="20" t="s">
        <v>69</v>
      </c>
      <c r="C13" s="5"/>
      <c r="D13" s="18" t="s">
        <v>70</v>
      </c>
      <c r="E13" s="19">
        <v>13949.15193459318</v>
      </c>
      <c r="F13" s="19">
        <v>14495.562187512112</v>
      </c>
      <c r="G13" s="19">
        <v>13258.367207385176</v>
      </c>
      <c r="H13" s="19">
        <v>16692.76059009019</v>
      </c>
      <c r="I13" s="19">
        <v>16702.50299956046</v>
      </c>
      <c r="J13" s="19">
        <v>15830.592105263158</v>
      </c>
      <c r="K13" s="4">
        <f t="shared" ref="K13:M13" si="13">H13/E13</f>
        <v>1.196686413</v>
      </c>
      <c r="L13" s="4">
        <f t="shared" si="13"/>
        <v>1.152249411</v>
      </c>
      <c r="M13" s="4">
        <f t="shared" si="13"/>
        <v>1.194007668</v>
      </c>
      <c r="N13" s="4">
        <f t="shared" si="3"/>
        <v>1.180981164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3.33"/>
    <col customWidth="1" min="2" max="2" width="18.11"/>
    <col customWidth="1" min="3" max="3" width="25.44"/>
    <col customWidth="1" min="4" max="5" width="10.56"/>
    <col customWidth="1" min="6" max="6" width="15.0"/>
    <col customWidth="1" min="7" max="8" width="10.56"/>
    <col customWidth="1" min="9" max="9" width="14.11"/>
    <col customWidth="1" min="10" max="26" width="10.56"/>
  </cols>
  <sheetData>
    <row r="1" ht="15.75" customHeight="1">
      <c r="A1" s="7"/>
      <c r="B1" s="22" t="s">
        <v>33</v>
      </c>
      <c r="C1" s="22" t="s">
        <v>1</v>
      </c>
      <c r="D1" s="23"/>
      <c r="E1" s="23"/>
      <c r="F1" s="7" t="s">
        <v>71</v>
      </c>
      <c r="G1" s="7" t="s">
        <v>72</v>
      </c>
      <c r="H1" s="24" t="s">
        <v>73</v>
      </c>
      <c r="I1" s="24" t="s">
        <v>74</v>
      </c>
      <c r="J1" s="24" t="s">
        <v>75</v>
      </c>
      <c r="K1" s="24" t="s">
        <v>76</v>
      </c>
      <c r="L1" s="24" t="s">
        <v>77</v>
      </c>
      <c r="M1" s="24" t="s">
        <v>78</v>
      </c>
      <c r="N1" s="24" t="s">
        <v>79</v>
      </c>
    </row>
    <row r="2" ht="15.75" customHeight="1">
      <c r="A2" s="23" t="s">
        <v>39</v>
      </c>
      <c r="B2" s="25">
        <v>1206.0</v>
      </c>
      <c r="C2" s="6" t="s">
        <v>80</v>
      </c>
      <c r="D2" s="6"/>
      <c r="E2" s="23" t="s">
        <v>38</v>
      </c>
      <c r="F2" s="7">
        <v>1530.3577537690935</v>
      </c>
      <c r="G2" s="7">
        <v>1342.198336864722</v>
      </c>
      <c r="H2" s="7">
        <v>1039.9818203692068</v>
      </c>
      <c r="I2" s="7">
        <v>1396.8569383459933</v>
      </c>
      <c r="J2" s="7">
        <v>1350.1589852733089</v>
      </c>
      <c r="K2" s="7">
        <v>1568.717298907275</v>
      </c>
      <c r="L2" s="7">
        <f t="shared" ref="L2:N2" si="1">I2/F2</f>
        <v>0.9127649629</v>
      </c>
      <c r="M2" s="7">
        <f t="shared" si="1"/>
        <v>1.005931052</v>
      </c>
      <c r="N2" s="7">
        <f t="shared" si="1"/>
        <v>1.508408386</v>
      </c>
    </row>
    <row r="3" ht="15.75" customHeight="1">
      <c r="A3" s="23" t="s">
        <v>12</v>
      </c>
      <c r="B3" s="25">
        <v>1206.0</v>
      </c>
      <c r="C3" s="6" t="s">
        <v>81</v>
      </c>
      <c r="D3" s="6"/>
      <c r="E3" s="23" t="s">
        <v>82</v>
      </c>
      <c r="F3" s="7">
        <v>996.4207989352326</v>
      </c>
      <c r="G3" s="7">
        <v>755.6741851092413</v>
      </c>
      <c r="H3" s="7">
        <v>1074.385904710549</v>
      </c>
      <c r="I3" s="7">
        <v>592.8944522615583</v>
      </c>
      <c r="J3" s="7">
        <v>559.7554299352283</v>
      </c>
      <c r="K3" s="7">
        <v>485.9802073515551</v>
      </c>
      <c r="L3" s="7">
        <f t="shared" ref="L3:N3" si="2">I3/F3</f>
        <v>0.5950241634</v>
      </c>
      <c r="M3" s="7">
        <f t="shared" si="2"/>
        <v>0.7407364721</v>
      </c>
      <c r="N3" s="7">
        <f t="shared" si="2"/>
        <v>0.4523330074</v>
      </c>
    </row>
    <row r="4" ht="15.75" customHeight="1">
      <c r="A4" s="23" t="s">
        <v>42</v>
      </c>
      <c r="B4" s="25">
        <v>1217.0</v>
      </c>
      <c r="C4" s="6" t="s">
        <v>83</v>
      </c>
      <c r="D4" s="6"/>
      <c r="E4" s="23" t="s">
        <v>41</v>
      </c>
      <c r="F4" s="7">
        <v>16573.898946230747</v>
      </c>
      <c r="G4" s="7">
        <v>18006.06036296542</v>
      </c>
      <c r="H4" s="7">
        <v>15886.815886815886</v>
      </c>
      <c r="I4" s="7">
        <v>13327.483134975046</v>
      </c>
      <c r="J4" s="7">
        <v>14541.661046900505</v>
      </c>
      <c r="K4" s="7">
        <v>14926.989024670807</v>
      </c>
      <c r="L4" s="7">
        <f t="shared" ref="L4:N4" si="3">I4/F4</f>
        <v>0.8041247976</v>
      </c>
      <c r="M4" s="7">
        <f t="shared" si="3"/>
        <v>0.8075981505</v>
      </c>
      <c r="N4" s="7">
        <f t="shared" si="3"/>
        <v>0.9395834339</v>
      </c>
    </row>
    <row r="5" ht="15.75" customHeight="1">
      <c r="A5" s="23" t="s">
        <v>45</v>
      </c>
      <c r="B5" s="25">
        <v>1217.0</v>
      </c>
      <c r="C5" s="6" t="s">
        <v>84</v>
      </c>
      <c r="D5" s="6"/>
      <c r="E5" s="23" t="s">
        <v>44</v>
      </c>
      <c r="F5" s="7">
        <v>3752.7741532559357</v>
      </c>
      <c r="G5" s="7">
        <v>3577.143067331212</v>
      </c>
      <c r="H5" s="7">
        <v>3504.407370826635</v>
      </c>
      <c r="I5" s="7">
        <v>3431.8052650035675</v>
      </c>
      <c r="J5" s="7">
        <v>3057.468233767024</v>
      </c>
      <c r="K5" s="7">
        <v>3441.0144076599972</v>
      </c>
      <c r="L5" s="7">
        <f t="shared" ref="L5:N5" si="4">I5/F5</f>
        <v>0.9144715682</v>
      </c>
      <c r="M5" s="7">
        <f t="shared" si="4"/>
        <v>0.8547234976</v>
      </c>
      <c r="N5" s="7">
        <f t="shared" si="4"/>
        <v>0.981910504</v>
      </c>
    </row>
    <row r="6" ht="15.75" customHeight="1">
      <c r="A6" s="23" t="s">
        <v>48</v>
      </c>
      <c r="B6" s="25">
        <v>1206.0</v>
      </c>
      <c r="C6" s="6" t="s">
        <v>85</v>
      </c>
      <c r="D6" s="6"/>
      <c r="E6" s="23" t="s">
        <v>47</v>
      </c>
      <c r="F6" s="7">
        <v>1153.6379277601568</v>
      </c>
      <c r="G6" s="7">
        <v>1157.936230637604</v>
      </c>
      <c r="H6" s="7">
        <v>1082.766281164534</v>
      </c>
      <c r="I6" s="7">
        <v>449.3641497281347</v>
      </c>
      <c r="J6" s="7">
        <v>460.5581650944013</v>
      </c>
      <c r="K6" s="7">
        <v>543.8508691489023</v>
      </c>
      <c r="L6" s="7">
        <f t="shared" ref="L6:N6" si="5">I6/F6</f>
        <v>0.3895192234</v>
      </c>
      <c r="M6" s="7">
        <f t="shared" si="5"/>
        <v>0.3977405257</v>
      </c>
      <c r="N6" s="7">
        <f t="shared" si="5"/>
        <v>0.5022790962</v>
      </c>
    </row>
    <row r="7" ht="15.75" customHeight="1">
      <c r="A7" s="23" t="s">
        <v>24</v>
      </c>
      <c r="B7" s="25">
        <v>1206.0</v>
      </c>
      <c r="C7" s="6" t="s">
        <v>86</v>
      </c>
      <c r="D7" s="6"/>
      <c r="E7" s="23" t="s">
        <v>87</v>
      </c>
      <c r="F7" s="7">
        <v>1216.0870949995656</v>
      </c>
      <c r="G7" s="7">
        <v>979.703029795355</v>
      </c>
      <c r="H7" s="7">
        <v>973.2581666889587</v>
      </c>
      <c r="I7" s="7">
        <v>276.1657741038607</v>
      </c>
      <c r="J7" s="7">
        <v>412.20115416323165</v>
      </c>
      <c r="K7" s="7">
        <v>296.4922007726587</v>
      </c>
      <c r="L7" s="7">
        <f t="shared" ref="L7:N7" si="6">I7/F7</f>
        <v>0.2270937462</v>
      </c>
      <c r="M7" s="7">
        <f t="shared" si="6"/>
        <v>0.4207409201</v>
      </c>
      <c r="N7" s="7">
        <f t="shared" si="6"/>
        <v>0.3046388008</v>
      </c>
    </row>
    <row r="8" ht="15.75" customHeight="1">
      <c r="A8" s="23" t="s">
        <v>51</v>
      </c>
      <c r="B8" s="25">
        <v>1218.0</v>
      </c>
      <c r="C8" s="26" t="s">
        <v>88</v>
      </c>
      <c r="D8" s="26"/>
      <c r="E8" s="23" t="s">
        <v>50</v>
      </c>
      <c r="F8" s="7">
        <v>14141.88458008575</v>
      </c>
      <c r="G8" s="7">
        <v>15042.540036763252</v>
      </c>
      <c r="H8" s="7">
        <v>14900.785007924223</v>
      </c>
      <c r="I8" s="7">
        <v>5035.994037991945</v>
      </c>
      <c r="J8" s="7">
        <v>5256.341890759503</v>
      </c>
      <c r="K8" s="7">
        <v>4899.398212874597</v>
      </c>
      <c r="L8" s="7">
        <f t="shared" ref="L8:N8" si="7">I8/F8</f>
        <v>0.3561048748</v>
      </c>
      <c r="M8" s="7">
        <f t="shared" si="7"/>
        <v>0.3494318033</v>
      </c>
      <c r="N8" s="7">
        <f t="shared" si="7"/>
        <v>0.3288013491</v>
      </c>
    </row>
    <row r="9" ht="15.75" customHeight="1">
      <c r="A9" s="23" t="s">
        <v>54</v>
      </c>
      <c r="B9" s="25">
        <v>1176.0</v>
      </c>
      <c r="C9" s="6" t="s">
        <v>55</v>
      </c>
      <c r="D9" s="6"/>
      <c r="E9" s="23" t="s">
        <v>53</v>
      </c>
      <c r="F9" s="7">
        <v>5430.397448304746</v>
      </c>
      <c r="G9" s="7">
        <v>5284.27228021741</v>
      </c>
      <c r="H9" s="7">
        <v>5077.987711027353</v>
      </c>
      <c r="I9" s="7">
        <v>1993.8745466544083</v>
      </c>
      <c r="J9" s="7">
        <v>1892.9749207163102</v>
      </c>
      <c r="K9" s="7">
        <v>1818.929933643346</v>
      </c>
      <c r="L9" s="7">
        <f t="shared" ref="L9:N9" si="8">I9/F9</f>
        <v>0.3671691742</v>
      </c>
      <c r="M9" s="7">
        <f t="shared" si="8"/>
        <v>0.3582281193</v>
      </c>
      <c r="N9" s="7">
        <f t="shared" si="8"/>
        <v>0.3581989633</v>
      </c>
    </row>
    <row r="10" ht="15.75" customHeight="1">
      <c r="A10" s="23" t="s">
        <v>57</v>
      </c>
      <c r="B10" s="25">
        <v>1232.0</v>
      </c>
      <c r="C10" s="6" t="s">
        <v>89</v>
      </c>
      <c r="D10" s="6"/>
      <c r="E10" s="23" t="s">
        <v>56</v>
      </c>
      <c r="F10" s="7">
        <v>74265.19491733078</v>
      </c>
      <c r="G10" s="7">
        <v>76076.04528715512</v>
      </c>
      <c r="H10" s="7">
        <v>76580.84540724817</v>
      </c>
      <c r="I10" s="7">
        <v>69196.60617283058</v>
      </c>
      <c r="J10" s="7">
        <v>68574.2923193818</v>
      </c>
      <c r="K10" s="7">
        <v>69802.74232766932</v>
      </c>
      <c r="L10" s="7">
        <f t="shared" ref="L10:N10" si="9">I10/F10</f>
        <v>0.9317501455</v>
      </c>
      <c r="M10" s="7">
        <f t="shared" si="9"/>
        <v>0.9013913915</v>
      </c>
      <c r="N10" s="7">
        <f t="shared" si="9"/>
        <v>0.911490882</v>
      </c>
    </row>
    <row r="11" ht="15.75" customHeight="1">
      <c r="A11" s="23" t="s">
        <v>60</v>
      </c>
      <c r="B11" s="25">
        <v>1204.0</v>
      </c>
      <c r="C11" s="6" t="s">
        <v>90</v>
      </c>
      <c r="D11" s="6"/>
      <c r="E11" s="23" t="s">
        <v>59</v>
      </c>
      <c r="F11" s="7">
        <v>6140.3072639586335</v>
      </c>
      <c r="G11" s="7">
        <v>6112.967202461366</v>
      </c>
      <c r="H11" s="7">
        <v>6428.145052977167</v>
      </c>
      <c r="I11" s="7">
        <v>5174.915122418151</v>
      </c>
      <c r="J11" s="7">
        <v>5417.915943401189</v>
      </c>
      <c r="K11" s="7">
        <v>5626.4157945780535</v>
      </c>
      <c r="L11" s="7">
        <f t="shared" ref="L11:N11" si="10">I11/F11</f>
        <v>0.8427778774</v>
      </c>
      <c r="M11" s="7">
        <f t="shared" si="10"/>
        <v>0.8862988732</v>
      </c>
      <c r="N11" s="7">
        <f t="shared" si="10"/>
        <v>0.8752782876</v>
      </c>
    </row>
    <row r="12" ht="15.75" customHeight="1">
      <c r="A12" s="23" t="s">
        <v>62</v>
      </c>
      <c r="B12" s="25">
        <v>1171.0</v>
      </c>
      <c r="C12" s="6" t="s">
        <v>91</v>
      </c>
      <c r="D12" s="6"/>
      <c r="E12" s="23" t="s">
        <v>62</v>
      </c>
      <c r="F12" s="7">
        <v>72600.65933251842</v>
      </c>
      <c r="G12" s="7">
        <v>72717.78199729546</v>
      </c>
      <c r="H12" s="7">
        <v>74026.07714251686</v>
      </c>
      <c r="I12" s="7">
        <v>67359.93028806298</v>
      </c>
      <c r="J12" s="7">
        <v>68929.61688491674</v>
      </c>
      <c r="K12" s="7">
        <v>68413.27839539765</v>
      </c>
      <c r="L12" s="7">
        <f t="shared" ref="L12:N12" si="11">I12/F12</f>
        <v>0.9278143051</v>
      </c>
      <c r="M12" s="7">
        <f t="shared" si="11"/>
        <v>0.9479059316</v>
      </c>
      <c r="N12" s="7">
        <f t="shared" si="11"/>
        <v>0.9241780875</v>
      </c>
    </row>
    <row r="13" ht="15.75" customHeight="1">
      <c r="A13" s="23" t="s">
        <v>92</v>
      </c>
      <c r="B13" s="25">
        <v>1207.0</v>
      </c>
      <c r="C13" s="6" t="s">
        <v>93</v>
      </c>
      <c r="D13" s="6" t="s">
        <v>94</v>
      </c>
      <c r="E13" s="23" t="s">
        <v>65</v>
      </c>
      <c r="F13" s="7">
        <v>3959.1270607651386</v>
      </c>
      <c r="G13" s="7">
        <v>3931.1674825693517</v>
      </c>
      <c r="H13" s="7">
        <v>3269.45694416036</v>
      </c>
      <c r="I13" s="7">
        <v>4280.402913011402</v>
      </c>
      <c r="J13" s="7">
        <v>3719.659387203243</v>
      </c>
      <c r="K13" s="7">
        <v>3926.5291063852214</v>
      </c>
      <c r="L13" s="7">
        <f t="shared" ref="L13:N13" si="12">I13/F13</f>
        <v>1.081148154</v>
      </c>
      <c r="M13" s="7">
        <f t="shared" si="12"/>
        <v>0.9461971294</v>
      </c>
      <c r="N13" s="7">
        <f t="shared" si="12"/>
        <v>1.200972875</v>
      </c>
    </row>
    <row r="14" ht="15.75" customHeight="1">
      <c r="A14" s="23" t="s">
        <v>95</v>
      </c>
      <c r="B14" s="25">
        <v>1207.0</v>
      </c>
      <c r="C14" s="6" t="s">
        <v>96</v>
      </c>
      <c r="D14" s="6" t="s">
        <v>97</v>
      </c>
      <c r="E14" s="23" t="s">
        <v>67</v>
      </c>
      <c r="F14" s="7">
        <v>2941.606256790155</v>
      </c>
      <c r="G14" s="7">
        <v>2980.9173403992113</v>
      </c>
      <c r="H14" s="7">
        <v>3108.794475624225</v>
      </c>
      <c r="I14" s="7">
        <v>2741.1997459375843</v>
      </c>
      <c r="J14" s="7">
        <v>2897.868796749607</v>
      </c>
      <c r="K14" s="7">
        <v>3033.622651049128</v>
      </c>
      <c r="L14" s="7">
        <f t="shared" ref="L14:N14" si="13">I14/F14</f>
        <v>0.9318717417</v>
      </c>
      <c r="M14" s="7">
        <f t="shared" si="13"/>
        <v>0.9721399374</v>
      </c>
      <c r="N14" s="7">
        <f t="shared" si="13"/>
        <v>0.9758196223</v>
      </c>
    </row>
    <row r="15" ht="15.75" customHeight="1">
      <c r="A15" s="23" t="s">
        <v>98</v>
      </c>
      <c r="B15" s="25">
        <v>1207.0</v>
      </c>
      <c r="C15" s="6" t="s">
        <v>70</v>
      </c>
      <c r="D15" s="6" t="s">
        <v>99</v>
      </c>
      <c r="E15" s="23" t="s">
        <v>100</v>
      </c>
      <c r="F15" s="7">
        <v>2665.8267486499685</v>
      </c>
      <c r="G15" s="7">
        <v>2455.7546517338965</v>
      </c>
      <c r="H15" s="7">
        <v>2453.8466920547344</v>
      </c>
      <c r="I15" s="7">
        <v>2128.9871239766303</v>
      </c>
      <c r="J15" s="7">
        <v>1997.800870359759</v>
      </c>
      <c r="K15" s="7">
        <v>2045.7300934068749</v>
      </c>
      <c r="L15" s="7">
        <f t="shared" ref="L15:N15" si="14">I15/F15</f>
        <v>0.7986217128</v>
      </c>
      <c r="M15" s="7">
        <f t="shared" si="14"/>
        <v>0.8135181049</v>
      </c>
      <c r="N15" s="7">
        <f t="shared" si="14"/>
        <v>0.8336829273</v>
      </c>
    </row>
    <row r="16" ht="15.75" customHeight="1">
      <c r="A16" s="23" t="s">
        <v>101</v>
      </c>
      <c r="B16" s="25">
        <v>1207.0</v>
      </c>
      <c r="C16" s="6" t="s">
        <v>102</v>
      </c>
      <c r="D16" s="6" t="s">
        <v>103</v>
      </c>
      <c r="E16" s="23" t="s">
        <v>104</v>
      </c>
      <c r="F16" s="7">
        <v>4599.576891567772</v>
      </c>
      <c r="G16" s="7">
        <v>4722.856549719742</v>
      </c>
      <c r="H16" s="7">
        <v>4677.217055851768</v>
      </c>
      <c r="I16" s="7">
        <v>4988.332153438737</v>
      </c>
      <c r="J16" s="7">
        <v>4799.293828790571</v>
      </c>
      <c r="K16" s="7">
        <v>5216.334988745579</v>
      </c>
      <c r="L16" s="7">
        <f t="shared" ref="L16:N16" si="15">I16/F16</f>
        <v>1.084519788</v>
      </c>
      <c r="M16" s="7">
        <f t="shared" si="15"/>
        <v>1.016184544</v>
      </c>
      <c r="N16" s="7">
        <f t="shared" si="15"/>
        <v>1.115264681</v>
      </c>
    </row>
    <row r="17" ht="15.75" customHeight="1">
      <c r="A17" s="23" t="s">
        <v>15</v>
      </c>
      <c r="B17" s="25">
        <v>1207.0</v>
      </c>
      <c r="C17" s="6" t="s">
        <v>105</v>
      </c>
      <c r="D17" s="6" t="s">
        <v>106</v>
      </c>
      <c r="E17" s="23" t="s">
        <v>107</v>
      </c>
      <c r="F17" s="7">
        <v>1367.8796976452927</v>
      </c>
      <c r="G17" s="7">
        <v>753.3822899649479</v>
      </c>
      <c r="H17" s="7">
        <v>922.031625191679</v>
      </c>
      <c r="I17" s="7">
        <v>3.597510522718279</v>
      </c>
      <c r="J17" s="7">
        <v>3.947560604924187</v>
      </c>
      <c r="K17" s="7">
        <v>15.501761000049605</v>
      </c>
      <c r="L17" s="7">
        <f t="shared" ref="L17:N17" si="16">I17/F17</f>
        <v>0.002629990436</v>
      </c>
      <c r="M17" s="7">
        <f t="shared" si="16"/>
        <v>0.005239784181</v>
      </c>
      <c r="N17" s="7">
        <f t="shared" si="16"/>
        <v>0.01681261312</v>
      </c>
    </row>
    <row r="18" ht="15.75" customHeight="1">
      <c r="B18" s="27"/>
    </row>
    <row r="19" ht="15.75" customHeight="1">
      <c r="B19" s="27"/>
    </row>
    <row r="20" ht="15.75" customHeight="1">
      <c r="B20" s="27"/>
    </row>
    <row r="21" ht="15.75" customHeight="1">
      <c r="B21" s="27"/>
    </row>
    <row r="22" ht="15.75" customHeight="1">
      <c r="B22" s="27"/>
    </row>
    <row r="23" ht="15.75" customHeight="1">
      <c r="B23" s="27"/>
    </row>
    <row r="24" ht="15.75" customHeight="1">
      <c r="B24" s="27"/>
    </row>
    <row r="25" ht="15.75" customHeight="1">
      <c r="B25" s="27"/>
    </row>
    <row r="26" ht="15.75" customHeight="1">
      <c r="B26" s="27"/>
    </row>
    <row r="27" ht="15.75" customHeight="1">
      <c r="B27" s="27"/>
    </row>
    <row r="28" ht="15.75" customHeight="1">
      <c r="B28" s="27"/>
    </row>
    <row r="29" ht="15.75" customHeight="1">
      <c r="B29" s="27"/>
    </row>
    <row r="30" ht="15.75" customHeight="1">
      <c r="B30" s="27"/>
    </row>
    <row r="31" ht="15.75" customHeight="1">
      <c r="B31" s="27"/>
    </row>
    <row r="32" ht="15.75" customHeight="1">
      <c r="B32" s="27"/>
    </row>
    <row r="33" ht="15.75" customHeight="1">
      <c r="B33" s="27"/>
    </row>
    <row r="34" ht="15.75" customHeight="1">
      <c r="B34" s="27"/>
    </row>
    <row r="35" ht="15.75" customHeight="1">
      <c r="B35" s="27"/>
    </row>
    <row r="36" ht="15.75" customHeight="1">
      <c r="B36" s="27"/>
    </row>
    <row r="37" ht="15.75" customHeight="1">
      <c r="B37" s="27"/>
    </row>
    <row r="38" ht="15.75" customHeight="1">
      <c r="B38" s="27"/>
    </row>
    <row r="39" ht="15.75" customHeight="1">
      <c r="B39" s="27"/>
    </row>
    <row r="40" ht="15.75" customHeight="1">
      <c r="B40" s="27"/>
    </row>
    <row r="41" ht="15.75" customHeight="1">
      <c r="B41" s="27"/>
    </row>
    <row r="42" ht="15.75" customHeight="1">
      <c r="B42" s="27"/>
    </row>
    <row r="43" ht="15.75" customHeight="1">
      <c r="B43" s="27"/>
    </row>
    <row r="44" ht="15.75" customHeight="1">
      <c r="B44" s="27"/>
    </row>
    <row r="45" ht="15.75" customHeight="1">
      <c r="B45" s="27"/>
    </row>
    <row r="46" ht="15.75" customHeight="1">
      <c r="B46" s="27"/>
    </row>
    <row r="47" ht="15.75" customHeight="1">
      <c r="B47" s="27"/>
    </row>
    <row r="48" ht="15.75" customHeight="1">
      <c r="B48" s="27"/>
    </row>
    <row r="49" ht="15.75" customHeight="1">
      <c r="B49" s="27"/>
    </row>
    <row r="50" ht="15.75" customHeight="1">
      <c r="B50" s="27"/>
    </row>
    <row r="51" ht="15.75" customHeight="1">
      <c r="B51" s="27"/>
    </row>
    <row r="52" ht="15.75" customHeight="1">
      <c r="B52" s="27"/>
    </row>
    <row r="53" ht="15.75" customHeight="1">
      <c r="B53" s="27"/>
    </row>
    <row r="54" ht="15.75" customHeight="1">
      <c r="B54" s="27"/>
    </row>
    <row r="55" ht="15.75" customHeight="1">
      <c r="B55" s="27"/>
    </row>
    <row r="56" ht="15.75" customHeight="1">
      <c r="B56" s="27"/>
    </row>
    <row r="57" ht="15.75" customHeight="1">
      <c r="B57" s="27"/>
    </row>
    <row r="58" ht="15.75" customHeight="1">
      <c r="B58" s="27"/>
    </row>
    <row r="59" ht="15.75" customHeight="1">
      <c r="B59" s="27"/>
    </row>
    <row r="60" ht="15.75" customHeight="1">
      <c r="B60" s="27"/>
    </row>
    <row r="61" ht="15.75" customHeight="1">
      <c r="B61" s="27"/>
    </row>
    <row r="62" ht="15.75" customHeight="1">
      <c r="B62" s="27"/>
    </row>
    <row r="63" ht="15.75" customHeight="1">
      <c r="B63" s="27"/>
    </row>
    <row r="64" ht="15.75" customHeight="1">
      <c r="B64" s="27"/>
    </row>
    <row r="65" ht="15.75" customHeight="1">
      <c r="B65" s="27"/>
    </row>
    <row r="66" ht="15.75" customHeight="1">
      <c r="B66" s="27"/>
    </row>
    <row r="67" ht="15.75" customHeight="1">
      <c r="B67" s="27"/>
    </row>
    <row r="68" ht="15.75" customHeight="1">
      <c r="B68" s="27"/>
    </row>
    <row r="69" ht="15.75" customHeight="1">
      <c r="B69" s="27"/>
    </row>
    <row r="70" ht="15.75" customHeight="1">
      <c r="B70" s="27"/>
    </row>
    <row r="71" ht="15.75" customHeight="1">
      <c r="B71" s="27"/>
    </row>
    <row r="72" ht="15.75" customHeight="1">
      <c r="B72" s="27"/>
    </row>
    <row r="73" ht="15.75" customHeight="1">
      <c r="B73" s="27"/>
    </row>
    <row r="74" ht="15.75" customHeight="1">
      <c r="B74" s="27"/>
    </row>
    <row r="75" ht="15.75" customHeight="1">
      <c r="B75" s="27"/>
    </row>
    <row r="76" ht="15.75" customHeight="1">
      <c r="B76" s="27"/>
    </row>
    <row r="77" ht="15.75" customHeight="1">
      <c r="B77" s="27"/>
    </row>
    <row r="78" ht="15.75" customHeight="1">
      <c r="B78" s="27"/>
    </row>
    <row r="79" ht="15.75" customHeight="1">
      <c r="B79" s="27"/>
    </row>
    <row r="80" ht="15.75" customHeight="1">
      <c r="B80" s="27"/>
    </row>
    <row r="81" ht="15.75" customHeight="1">
      <c r="B81" s="27"/>
    </row>
    <row r="82" ht="15.75" customHeight="1">
      <c r="B82" s="27"/>
    </row>
    <row r="83" ht="15.75" customHeight="1">
      <c r="B83" s="27"/>
    </row>
    <row r="84" ht="15.75" customHeight="1">
      <c r="B84" s="27"/>
    </row>
    <row r="85" ht="15.75" customHeight="1">
      <c r="B85" s="27"/>
    </row>
    <row r="86" ht="15.75" customHeight="1">
      <c r="B86" s="27"/>
    </row>
    <row r="87" ht="15.75" customHeight="1">
      <c r="B87" s="27"/>
    </row>
    <row r="88" ht="15.75" customHeight="1">
      <c r="B88" s="27"/>
    </row>
    <row r="89" ht="15.75" customHeight="1">
      <c r="B89" s="27"/>
    </row>
    <row r="90" ht="15.75" customHeight="1">
      <c r="B90" s="27"/>
    </row>
    <row r="91" ht="15.75" customHeight="1">
      <c r="B91" s="27"/>
    </row>
    <row r="92" ht="15.75" customHeight="1">
      <c r="B92" s="27"/>
    </row>
    <row r="93" ht="15.75" customHeight="1">
      <c r="B93" s="27"/>
    </row>
    <row r="94" ht="15.75" customHeight="1">
      <c r="B94" s="27"/>
    </row>
    <row r="95" ht="15.75" customHeight="1">
      <c r="B95" s="27"/>
    </row>
    <row r="96" ht="15.75" customHeight="1">
      <c r="B96" s="27"/>
    </row>
    <row r="97" ht="15.75" customHeight="1">
      <c r="B97" s="27"/>
    </row>
    <row r="98" ht="15.75" customHeight="1">
      <c r="B98" s="27"/>
    </row>
    <row r="99" ht="15.75" customHeight="1">
      <c r="B99" s="27"/>
    </row>
    <row r="100" ht="15.75" customHeight="1">
      <c r="B100" s="27"/>
    </row>
    <row r="101" ht="15.75" customHeight="1">
      <c r="B101" s="27"/>
    </row>
    <row r="102" ht="15.75" customHeight="1">
      <c r="B102" s="27"/>
    </row>
    <row r="103" ht="15.75" customHeight="1">
      <c r="B103" s="27"/>
    </row>
    <row r="104" ht="15.75" customHeight="1">
      <c r="B104" s="27"/>
    </row>
    <row r="105" ht="15.75" customHeight="1">
      <c r="B105" s="27"/>
    </row>
    <row r="106" ht="15.75" customHeight="1">
      <c r="B106" s="27"/>
    </row>
    <row r="107" ht="15.75" customHeight="1">
      <c r="B107" s="27"/>
    </row>
    <row r="108" ht="15.75" customHeight="1">
      <c r="B108" s="27"/>
    </row>
    <row r="109" ht="15.75" customHeight="1">
      <c r="B109" s="27"/>
    </row>
    <row r="110" ht="15.75" customHeight="1">
      <c r="B110" s="27"/>
    </row>
    <row r="111" ht="15.75" customHeight="1">
      <c r="B111" s="27"/>
    </row>
    <row r="112" ht="15.75" customHeight="1">
      <c r="B112" s="27"/>
    </row>
    <row r="113" ht="15.75" customHeight="1">
      <c r="B113" s="27"/>
    </row>
    <row r="114" ht="15.75" customHeight="1">
      <c r="B114" s="27"/>
    </row>
    <row r="115" ht="15.75" customHeight="1">
      <c r="B115" s="27"/>
    </row>
    <row r="116" ht="15.75" customHeight="1">
      <c r="B116" s="27"/>
    </row>
    <row r="117" ht="15.75" customHeight="1">
      <c r="B117" s="27"/>
    </row>
    <row r="118" ht="15.75" customHeight="1">
      <c r="B118" s="27"/>
    </row>
    <row r="119" ht="15.75" customHeight="1">
      <c r="B119" s="27"/>
    </row>
    <row r="120" ht="15.75" customHeight="1">
      <c r="B120" s="27"/>
    </row>
    <row r="121" ht="15.75" customHeight="1">
      <c r="B121" s="27"/>
    </row>
    <row r="122" ht="15.75" customHeight="1">
      <c r="B122" s="27"/>
    </row>
    <row r="123" ht="15.75" customHeight="1">
      <c r="B123" s="27"/>
    </row>
    <row r="124" ht="15.75" customHeight="1">
      <c r="B124" s="27"/>
    </row>
    <row r="125" ht="15.75" customHeight="1">
      <c r="B125" s="27"/>
    </row>
    <row r="126" ht="15.75" customHeight="1">
      <c r="B126" s="27"/>
    </row>
    <row r="127" ht="15.75" customHeight="1">
      <c r="B127" s="27"/>
    </row>
    <row r="128" ht="15.75" customHeight="1">
      <c r="B128" s="27"/>
    </row>
    <row r="129" ht="15.75" customHeight="1">
      <c r="B129" s="27"/>
    </row>
    <row r="130" ht="15.75" customHeight="1">
      <c r="B130" s="27"/>
    </row>
    <row r="131" ht="15.75" customHeight="1">
      <c r="B131" s="27"/>
    </row>
    <row r="132" ht="15.75" customHeight="1">
      <c r="B132" s="27"/>
    </row>
    <row r="133" ht="15.75" customHeight="1">
      <c r="B133" s="27"/>
    </row>
    <row r="134" ht="15.75" customHeight="1">
      <c r="B134" s="27"/>
    </row>
    <row r="135" ht="15.75" customHeight="1">
      <c r="B135" s="27"/>
    </row>
    <row r="136" ht="15.75" customHeight="1">
      <c r="B136" s="27"/>
    </row>
    <row r="137" ht="15.75" customHeight="1">
      <c r="B137" s="27"/>
    </row>
    <row r="138" ht="15.75" customHeight="1">
      <c r="B138" s="27"/>
    </row>
    <row r="139" ht="15.75" customHeight="1">
      <c r="B139" s="27"/>
    </row>
    <row r="140" ht="15.75" customHeight="1">
      <c r="B140" s="27"/>
    </row>
    <row r="141" ht="15.75" customHeight="1">
      <c r="B141" s="27"/>
    </row>
    <row r="142" ht="15.75" customHeight="1">
      <c r="B142" s="27"/>
    </row>
    <row r="143" ht="15.75" customHeight="1">
      <c r="B143" s="27"/>
    </row>
    <row r="144" ht="15.75" customHeight="1">
      <c r="B144" s="27"/>
    </row>
    <row r="145" ht="15.75" customHeight="1">
      <c r="B145" s="27"/>
    </row>
    <row r="146" ht="15.75" customHeight="1">
      <c r="B146" s="27"/>
    </row>
    <row r="147" ht="15.75" customHeight="1">
      <c r="B147" s="27"/>
    </row>
    <row r="148" ht="15.75" customHeight="1">
      <c r="B148" s="27"/>
    </row>
    <row r="149" ht="15.75" customHeight="1">
      <c r="B149" s="27"/>
    </row>
    <row r="150" ht="15.75" customHeight="1">
      <c r="B150" s="27"/>
    </row>
    <row r="151" ht="15.75" customHeight="1">
      <c r="B151" s="27"/>
    </row>
    <row r="152" ht="15.75" customHeight="1">
      <c r="B152" s="27"/>
    </row>
    <row r="153" ht="15.75" customHeight="1">
      <c r="B153" s="27"/>
    </row>
    <row r="154" ht="15.75" customHeight="1">
      <c r="B154" s="27"/>
    </row>
    <row r="155" ht="15.75" customHeight="1">
      <c r="B155" s="27"/>
    </row>
    <row r="156" ht="15.75" customHeight="1">
      <c r="B156" s="27"/>
    </row>
    <row r="157" ht="15.75" customHeight="1">
      <c r="B157" s="27"/>
    </row>
    <row r="158" ht="15.75" customHeight="1">
      <c r="B158" s="27"/>
    </row>
    <row r="159" ht="15.75" customHeight="1">
      <c r="B159" s="27"/>
    </row>
    <row r="160" ht="15.75" customHeight="1">
      <c r="B160" s="27"/>
    </row>
    <row r="161" ht="15.75" customHeight="1">
      <c r="B161" s="27"/>
    </row>
    <row r="162" ht="15.75" customHeight="1">
      <c r="B162" s="27"/>
    </row>
    <row r="163" ht="15.75" customHeight="1">
      <c r="B163" s="27"/>
    </row>
    <row r="164" ht="15.75" customHeight="1">
      <c r="B164" s="27"/>
    </row>
    <row r="165" ht="15.75" customHeight="1">
      <c r="B165" s="27"/>
    </row>
    <row r="166" ht="15.75" customHeight="1">
      <c r="B166" s="27"/>
    </row>
    <row r="167" ht="15.75" customHeight="1">
      <c r="B167" s="27"/>
    </row>
    <row r="168" ht="15.75" customHeight="1">
      <c r="B168" s="27"/>
    </row>
    <row r="169" ht="15.75" customHeight="1">
      <c r="B169" s="27"/>
    </row>
    <row r="170" ht="15.75" customHeight="1">
      <c r="B170" s="27"/>
    </row>
    <row r="171" ht="15.75" customHeight="1">
      <c r="B171" s="27"/>
    </row>
    <row r="172" ht="15.75" customHeight="1">
      <c r="B172" s="27"/>
    </row>
    <row r="173" ht="15.75" customHeight="1">
      <c r="B173" s="27"/>
    </row>
    <row r="174" ht="15.75" customHeight="1">
      <c r="B174" s="27"/>
    </row>
    <row r="175" ht="15.75" customHeight="1">
      <c r="B175" s="27"/>
    </row>
    <row r="176" ht="15.75" customHeight="1">
      <c r="B176" s="27"/>
    </row>
    <row r="177" ht="15.75" customHeight="1">
      <c r="B177" s="27"/>
    </row>
    <row r="178" ht="15.75" customHeight="1">
      <c r="B178" s="27"/>
    </row>
    <row r="179" ht="15.75" customHeight="1">
      <c r="B179" s="27"/>
    </row>
    <row r="180" ht="15.75" customHeight="1">
      <c r="B180" s="27"/>
    </row>
    <row r="181" ht="15.75" customHeight="1">
      <c r="B181" s="27"/>
    </row>
    <row r="182" ht="15.75" customHeight="1">
      <c r="B182" s="27"/>
    </row>
    <row r="183" ht="15.75" customHeight="1">
      <c r="B183" s="27"/>
    </row>
    <row r="184" ht="15.75" customHeight="1">
      <c r="B184" s="27"/>
    </row>
    <row r="185" ht="15.75" customHeight="1">
      <c r="B185" s="27"/>
    </row>
    <row r="186" ht="15.75" customHeight="1">
      <c r="B186" s="27"/>
    </row>
    <row r="187" ht="15.75" customHeight="1">
      <c r="B187" s="27"/>
    </row>
    <row r="188" ht="15.75" customHeight="1">
      <c r="B188" s="27"/>
    </row>
    <row r="189" ht="15.75" customHeight="1">
      <c r="B189" s="27"/>
    </row>
    <row r="190" ht="15.75" customHeight="1">
      <c r="B190" s="27"/>
    </row>
    <row r="191" ht="15.75" customHeight="1">
      <c r="B191" s="27"/>
    </row>
    <row r="192" ht="15.75" customHeight="1">
      <c r="B192" s="27"/>
    </row>
    <row r="193" ht="15.75" customHeight="1">
      <c r="B193" s="27"/>
    </row>
    <row r="194" ht="15.75" customHeight="1">
      <c r="B194" s="27"/>
    </row>
    <row r="195" ht="15.75" customHeight="1">
      <c r="B195" s="27"/>
    </row>
    <row r="196" ht="15.75" customHeight="1">
      <c r="B196" s="27"/>
    </row>
    <row r="197" ht="15.75" customHeight="1">
      <c r="B197" s="27"/>
    </row>
    <row r="198" ht="15.75" customHeight="1">
      <c r="B198" s="27"/>
    </row>
    <row r="199" ht="15.75" customHeight="1">
      <c r="B199" s="27"/>
    </row>
    <row r="200" ht="15.75" customHeight="1">
      <c r="B200" s="27"/>
    </row>
    <row r="201" ht="15.75" customHeight="1">
      <c r="B201" s="27"/>
    </row>
    <row r="202" ht="15.75" customHeight="1">
      <c r="B202" s="27"/>
    </row>
    <row r="203" ht="15.75" customHeight="1">
      <c r="B203" s="27"/>
    </row>
    <row r="204" ht="15.75" customHeight="1">
      <c r="B204" s="27"/>
    </row>
    <row r="205" ht="15.75" customHeight="1">
      <c r="B205" s="27"/>
    </row>
    <row r="206" ht="15.75" customHeight="1">
      <c r="B206" s="27"/>
    </row>
    <row r="207" ht="15.75" customHeight="1">
      <c r="B207" s="27"/>
    </row>
    <row r="208" ht="15.75" customHeight="1">
      <c r="B208" s="27"/>
    </row>
    <row r="209" ht="15.75" customHeight="1">
      <c r="B209" s="27"/>
    </row>
    <row r="210" ht="15.75" customHeight="1">
      <c r="B210" s="27"/>
    </row>
    <row r="211" ht="15.75" customHeight="1">
      <c r="B211" s="27"/>
    </row>
    <row r="212" ht="15.75" customHeight="1">
      <c r="B212" s="27"/>
    </row>
    <row r="213" ht="15.75" customHeight="1">
      <c r="B213" s="27"/>
    </row>
    <row r="214" ht="15.75" customHeight="1">
      <c r="B214" s="27"/>
    </row>
    <row r="215" ht="15.75" customHeight="1">
      <c r="B215" s="27"/>
    </row>
    <row r="216" ht="15.75" customHeight="1">
      <c r="B216" s="27"/>
    </row>
    <row r="217" ht="15.75" customHeight="1">
      <c r="B217" s="27"/>
    </row>
    <row r="218" ht="15.75" customHeight="1">
      <c r="B218" s="27"/>
    </row>
    <row r="219" ht="15.75" customHeight="1">
      <c r="B219" s="27"/>
    </row>
    <row r="220" ht="15.75" customHeight="1">
      <c r="B220" s="27"/>
    </row>
    <row r="221" ht="15.75" customHeight="1">
      <c r="B221" s="27"/>
    </row>
    <row r="222" ht="15.75" customHeight="1">
      <c r="B222" s="27"/>
    </row>
    <row r="223" ht="15.75" customHeight="1">
      <c r="B223" s="27"/>
    </row>
    <row r="224" ht="15.75" customHeight="1">
      <c r="B224" s="27"/>
    </row>
    <row r="225" ht="15.75" customHeight="1">
      <c r="B225" s="27"/>
    </row>
    <row r="226" ht="15.75" customHeight="1">
      <c r="B226" s="27"/>
    </row>
    <row r="227" ht="15.75" customHeight="1">
      <c r="B227" s="27"/>
    </row>
    <row r="228" ht="15.75" customHeight="1">
      <c r="B228" s="27"/>
    </row>
    <row r="229" ht="15.75" customHeight="1">
      <c r="B229" s="27"/>
    </row>
    <row r="230" ht="15.75" customHeight="1">
      <c r="B230" s="27"/>
    </row>
    <row r="231" ht="15.75" customHeight="1">
      <c r="B231" s="27"/>
    </row>
    <row r="232" ht="15.75" customHeight="1">
      <c r="B232" s="27"/>
    </row>
    <row r="233" ht="15.75" customHeight="1">
      <c r="B233" s="27"/>
    </row>
    <row r="234" ht="15.75" customHeight="1">
      <c r="B234" s="27"/>
    </row>
    <row r="235" ht="15.75" customHeight="1">
      <c r="B235" s="27"/>
    </row>
    <row r="236" ht="15.75" customHeight="1">
      <c r="B236" s="27"/>
    </row>
    <row r="237" ht="15.75" customHeight="1">
      <c r="B237" s="27"/>
    </row>
    <row r="238" ht="15.75" customHeight="1">
      <c r="B238" s="27"/>
    </row>
    <row r="239" ht="15.75" customHeight="1">
      <c r="B239" s="27"/>
    </row>
    <row r="240" ht="15.75" customHeight="1">
      <c r="B240" s="27"/>
    </row>
    <row r="241" ht="15.75" customHeight="1">
      <c r="B241" s="27"/>
    </row>
    <row r="242" ht="15.75" customHeight="1">
      <c r="B242" s="27"/>
    </row>
    <row r="243" ht="15.75" customHeight="1">
      <c r="B243" s="27"/>
    </row>
    <row r="244" ht="15.75" customHeight="1">
      <c r="B244" s="27"/>
    </row>
    <row r="245" ht="15.75" customHeight="1">
      <c r="B245" s="27"/>
    </row>
    <row r="246" ht="15.75" customHeight="1">
      <c r="B246" s="27"/>
    </row>
    <row r="247" ht="15.75" customHeight="1">
      <c r="B247" s="27"/>
    </row>
    <row r="248" ht="15.75" customHeight="1">
      <c r="B248" s="27"/>
    </row>
    <row r="249" ht="15.75" customHeight="1">
      <c r="B249" s="27"/>
    </row>
    <row r="250" ht="15.75" customHeight="1">
      <c r="B250" s="27"/>
    </row>
    <row r="251" ht="15.75" customHeight="1">
      <c r="B251" s="27"/>
    </row>
    <row r="252" ht="15.75" customHeight="1">
      <c r="B252" s="27"/>
    </row>
    <row r="253" ht="15.75" customHeight="1">
      <c r="B253" s="27"/>
    </row>
    <row r="254" ht="15.75" customHeight="1">
      <c r="B254" s="27"/>
    </row>
    <row r="255" ht="15.75" customHeight="1">
      <c r="B255" s="27"/>
    </row>
    <row r="256" ht="15.75" customHeight="1">
      <c r="B256" s="27"/>
    </row>
    <row r="257" ht="15.75" customHeight="1">
      <c r="B257" s="27"/>
    </row>
    <row r="258" ht="15.75" customHeight="1">
      <c r="B258" s="27"/>
    </row>
    <row r="259" ht="15.75" customHeight="1">
      <c r="B259" s="27"/>
    </row>
    <row r="260" ht="15.75" customHeight="1">
      <c r="B260" s="27"/>
    </row>
    <row r="261" ht="15.75" customHeight="1">
      <c r="B261" s="27"/>
    </row>
    <row r="262" ht="15.75" customHeight="1">
      <c r="B262" s="27"/>
    </row>
    <row r="263" ht="15.75" customHeight="1">
      <c r="B263" s="27"/>
    </row>
    <row r="264" ht="15.75" customHeight="1">
      <c r="B264" s="27"/>
    </row>
    <row r="265" ht="15.75" customHeight="1">
      <c r="B265" s="27"/>
    </row>
    <row r="266" ht="15.75" customHeight="1">
      <c r="B266" s="27"/>
    </row>
    <row r="267" ht="15.75" customHeight="1">
      <c r="B267" s="27"/>
    </row>
    <row r="268" ht="15.75" customHeight="1">
      <c r="B268" s="27"/>
    </row>
    <row r="269" ht="15.75" customHeight="1">
      <c r="B269" s="27"/>
    </row>
    <row r="270" ht="15.75" customHeight="1">
      <c r="B270" s="27"/>
    </row>
    <row r="271" ht="15.75" customHeight="1">
      <c r="B271" s="27"/>
    </row>
    <row r="272" ht="15.75" customHeight="1">
      <c r="B272" s="27"/>
    </row>
    <row r="273" ht="15.75" customHeight="1">
      <c r="B273" s="27"/>
    </row>
    <row r="274" ht="15.75" customHeight="1">
      <c r="B274" s="27"/>
    </row>
    <row r="275" ht="15.75" customHeight="1">
      <c r="B275" s="27"/>
    </row>
    <row r="276" ht="15.75" customHeight="1">
      <c r="B276" s="27"/>
    </row>
    <row r="277" ht="15.75" customHeight="1">
      <c r="B277" s="27"/>
    </row>
    <row r="278" ht="15.75" customHeight="1">
      <c r="B278" s="27"/>
    </row>
    <row r="279" ht="15.75" customHeight="1">
      <c r="B279" s="27"/>
    </row>
    <row r="280" ht="15.75" customHeight="1">
      <c r="B280" s="27"/>
    </row>
    <row r="281" ht="15.75" customHeight="1">
      <c r="B281" s="27"/>
    </row>
    <row r="282" ht="15.75" customHeight="1">
      <c r="B282" s="27"/>
    </row>
    <row r="283" ht="15.75" customHeight="1">
      <c r="B283" s="27"/>
    </row>
    <row r="284" ht="15.75" customHeight="1">
      <c r="B284" s="27"/>
    </row>
    <row r="285" ht="15.75" customHeight="1">
      <c r="B285" s="27"/>
    </row>
    <row r="286" ht="15.75" customHeight="1">
      <c r="B286" s="27"/>
    </row>
    <row r="287" ht="15.75" customHeight="1">
      <c r="B287" s="27"/>
    </row>
    <row r="288" ht="15.75" customHeight="1">
      <c r="B288" s="27"/>
    </row>
    <row r="289" ht="15.75" customHeight="1">
      <c r="B289" s="27"/>
    </row>
    <row r="290" ht="15.75" customHeight="1">
      <c r="B290" s="27"/>
    </row>
    <row r="291" ht="15.75" customHeight="1">
      <c r="B291" s="27"/>
    </row>
    <row r="292" ht="15.75" customHeight="1">
      <c r="B292" s="27"/>
    </row>
    <row r="293" ht="15.75" customHeight="1">
      <c r="B293" s="27"/>
    </row>
    <row r="294" ht="15.75" customHeight="1">
      <c r="B294" s="27"/>
    </row>
    <row r="295" ht="15.75" customHeight="1">
      <c r="B295" s="27"/>
    </row>
    <row r="296" ht="15.75" customHeight="1">
      <c r="B296" s="27"/>
    </row>
    <row r="297" ht="15.75" customHeight="1">
      <c r="B297" s="27"/>
    </row>
    <row r="298" ht="15.75" customHeight="1">
      <c r="B298" s="27"/>
    </row>
    <row r="299" ht="15.75" customHeight="1">
      <c r="B299" s="27"/>
    </row>
    <row r="300" ht="15.75" customHeight="1">
      <c r="B300" s="27"/>
    </row>
    <row r="301" ht="15.75" customHeight="1">
      <c r="B301" s="27"/>
    </row>
    <row r="302" ht="15.75" customHeight="1">
      <c r="B302" s="27"/>
    </row>
    <row r="303" ht="15.75" customHeight="1">
      <c r="B303" s="27"/>
    </row>
    <row r="304" ht="15.75" customHeight="1">
      <c r="B304" s="27"/>
    </row>
    <row r="305" ht="15.75" customHeight="1">
      <c r="B305" s="27"/>
    </row>
    <row r="306" ht="15.75" customHeight="1">
      <c r="B306" s="27"/>
    </row>
    <row r="307" ht="15.75" customHeight="1">
      <c r="B307" s="27"/>
    </row>
    <row r="308" ht="15.75" customHeight="1">
      <c r="B308" s="27"/>
    </row>
    <row r="309" ht="15.75" customHeight="1">
      <c r="B309" s="27"/>
    </row>
    <row r="310" ht="15.75" customHeight="1">
      <c r="B310" s="27"/>
    </row>
    <row r="311" ht="15.75" customHeight="1">
      <c r="B311" s="27"/>
    </row>
    <row r="312" ht="15.75" customHeight="1">
      <c r="B312" s="27"/>
    </row>
    <row r="313" ht="15.75" customHeight="1">
      <c r="B313" s="27"/>
    </row>
    <row r="314" ht="15.75" customHeight="1">
      <c r="B314" s="27"/>
    </row>
    <row r="315" ht="15.75" customHeight="1">
      <c r="B315" s="27"/>
    </row>
    <row r="316" ht="15.75" customHeight="1">
      <c r="B316" s="27"/>
    </row>
    <row r="317" ht="15.75" customHeight="1">
      <c r="B317" s="27"/>
    </row>
    <row r="318" ht="15.75" customHeight="1">
      <c r="B318" s="27"/>
    </row>
    <row r="319" ht="15.75" customHeight="1">
      <c r="B319" s="27"/>
    </row>
    <row r="320" ht="15.75" customHeight="1">
      <c r="B320" s="27"/>
    </row>
    <row r="321" ht="15.75" customHeight="1">
      <c r="B321" s="27"/>
    </row>
    <row r="322" ht="15.75" customHeight="1">
      <c r="B322" s="27"/>
    </row>
    <row r="323" ht="15.75" customHeight="1">
      <c r="B323" s="27"/>
    </row>
    <row r="324" ht="15.75" customHeight="1">
      <c r="B324" s="27"/>
    </row>
    <row r="325" ht="15.75" customHeight="1">
      <c r="B325" s="27"/>
    </row>
    <row r="326" ht="15.75" customHeight="1">
      <c r="B326" s="27"/>
    </row>
    <row r="327" ht="15.75" customHeight="1">
      <c r="B327" s="27"/>
    </row>
    <row r="328" ht="15.75" customHeight="1">
      <c r="B328" s="27"/>
    </row>
    <row r="329" ht="15.75" customHeight="1">
      <c r="B329" s="27"/>
    </row>
    <row r="330" ht="15.75" customHeight="1">
      <c r="B330" s="27"/>
    </row>
    <row r="331" ht="15.75" customHeight="1">
      <c r="B331" s="27"/>
    </row>
    <row r="332" ht="15.75" customHeight="1">
      <c r="B332" s="27"/>
    </row>
    <row r="333" ht="15.75" customHeight="1">
      <c r="B333" s="27"/>
    </row>
    <row r="334" ht="15.75" customHeight="1">
      <c r="B334" s="27"/>
    </row>
    <row r="335" ht="15.75" customHeight="1">
      <c r="B335" s="27"/>
    </row>
    <row r="336" ht="15.75" customHeight="1">
      <c r="B336" s="27"/>
    </row>
    <row r="337" ht="15.75" customHeight="1">
      <c r="B337" s="27"/>
    </row>
    <row r="338" ht="15.75" customHeight="1">
      <c r="B338" s="27"/>
    </row>
    <row r="339" ht="15.75" customHeight="1">
      <c r="B339" s="27"/>
    </row>
    <row r="340" ht="15.75" customHeight="1">
      <c r="B340" s="27"/>
    </row>
    <row r="341" ht="15.75" customHeight="1">
      <c r="B341" s="27"/>
    </row>
    <row r="342" ht="15.75" customHeight="1">
      <c r="B342" s="27"/>
    </row>
    <row r="343" ht="15.75" customHeight="1">
      <c r="B343" s="27"/>
    </row>
    <row r="344" ht="15.75" customHeight="1">
      <c r="B344" s="27"/>
    </row>
    <row r="345" ht="15.75" customHeight="1">
      <c r="B345" s="27"/>
    </row>
    <row r="346" ht="15.75" customHeight="1">
      <c r="B346" s="27"/>
    </row>
    <row r="347" ht="15.75" customHeight="1">
      <c r="B347" s="27"/>
    </row>
    <row r="348" ht="15.75" customHeight="1">
      <c r="B348" s="27"/>
    </row>
    <row r="349" ht="15.75" customHeight="1">
      <c r="B349" s="27"/>
    </row>
    <row r="350" ht="15.75" customHeight="1">
      <c r="B350" s="27"/>
    </row>
    <row r="351" ht="15.75" customHeight="1">
      <c r="B351" s="27"/>
    </row>
    <row r="352" ht="15.75" customHeight="1">
      <c r="B352" s="27"/>
    </row>
    <row r="353" ht="15.75" customHeight="1">
      <c r="B353" s="27"/>
    </row>
    <row r="354" ht="15.75" customHeight="1">
      <c r="B354" s="27"/>
    </row>
    <row r="355" ht="15.75" customHeight="1">
      <c r="B355" s="27"/>
    </row>
    <row r="356" ht="15.75" customHeight="1">
      <c r="B356" s="27"/>
    </row>
    <row r="357" ht="15.75" customHeight="1">
      <c r="B357" s="27"/>
    </row>
    <row r="358" ht="15.75" customHeight="1">
      <c r="B358" s="27"/>
    </row>
    <row r="359" ht="15.75" customHeight="1">
      <c r="B359" s="27"/>
    </row>
    <row r="360" ht="15.75" customHeight="1">
      <c r="B360" s="27"/>
    </row>
    <row r="361" ht="15.75" customHeight="1">
      <c r="B361" s="27"/>
    </row>
    <row r="362" ht="15.75" customHeight="1">
      <c r="B362" s="27"/>
    </row>
    <row r="363" ht="15.75" customHeight="1">
      <c r="B363" s="27"/>
    </row>
    <row r="364" ht="15.75" customHeight="1">
      <c r="B364" s="27"/>
    </row>
    <row r="365" ht="15.75" customHeight="1">
      <c r="B365" s="27"/>
    </row>
    <row r="366" ht="15.75" customHeight="1">
      <c r="B366" s="27"/>
    </row>
    <row r="367" ht="15.75" customHeight="1">
      <c r="B367" s="27"/>
    </row>
    <row r="368" ht="15.75" customHeight="1">
      <c r="B368" s="27"/>
    </row>
    <row r="369" ht="15.75" customHeight="1">
      <c r="B369" s="27"/>
    </row>
    <row r="370" ht="15.75" customHeight="1">
      <c r="B370" s="27"/>
    </row>
    <row r="371" ht="15.75" customHeight="1">
      <c r="B371" s="27"/>
    </row>
    <row r="372" ht="15.75" customHeight="1">
      <c r="B372" s="27"/>
    </row>
    <row r="373" ht="15.75" customHeight="1">
      <c r="B373" s="27"/>
    </row>
    <row r="374" ht="15.75" customHeight="1">
      <c r="B374" s="27"/>
    </row>
    <row r="375" ht="15.75" customHeight="1">
      <c r="B375" s="27"/>
    </row>
    <row r="376" ht="15.75" customHeight="1">
      <c r="B376" s="27"/>
    </row>
    <row r="377" ht="15.75" customHeight="1">
      <c r="B377" s="27"/>
    </row>
    <row r="378" ht="15.75" customHeight="1">
      <c r="B378" s="27"/>
    </row>
    <row r="379" ht="15.75" customHeight="1">
      <c r="B379" s="27"/>
    </row>
    <row r="380" ht="15.75" customHeight="1">
      <c r="B380" s="27"/>
    </row>
    <row r="381" ht="15.75" customHeight="1">
      <c r="B381" s="27"/>
    </row>
    <row r="382" ht="15.75" customHeight="1">
      <c r="B382" s="27"/>
    </row>
    <row r="383" ht="15.75" customHeight="1">
      <c r="B383" s="27"/>
    </row>
    <row r="384" ht="15.75" customHeight="1">
      <c r="B384" s="27"/>
    </row>
    <row r="385" ht="15.75" customHeight="1">
      <c r="B385" s="27"/>
    </row>
    <row r="386" ht="15.75" customHeight="1">
      <c r="B386" s="27"/>
    </row>
    <row r="387" ht="15.75" customHeight="1">
      <c r="B387" s="27"/>
    </row>
    <row r="388" ht="15.75" customHeight="1">
      <c r="B388" s="27"/>
    </row>
    <row r="389" ht="15.75" customHeight="1">
      <c r="B389" s="27"/>
    </row>
    <row r="390" ht="15.75" customHeight="1">
      <c r="B390" s="27"/>
    </row>
    <row r="391" ht="15.75" customHeight="1">
      <c r="B391" s="27"/>
    </row>
    <row r="392" ht="15.75" customHeight="1">
      <c r="B392" s="27"/>
    </row>
    <row r="393" ht="15.75" customHeight="1">
      <c r="B393" s="27"/>
    </row>
    <row r="394" ht="15.75" customHeight="1">
      <c r="B394" s="27"/>
    </row>
    <row r="395" ht="15.75" customHeight="1">
      <c r="B395" s="27"/>
    </row>
    <row r="396" ht="15.75" customHeight="1">
      <c r="B396" s="27"/>
    </row>
    <row r="397" ht="15.75" customHeight="1">
      <c r="B397" s="27"/>
    </row>
    <row r="398" ht="15.75" customHeight="1">
      <c r="B398" s="27"/>
    </row>
    <row r="399" ht="15.75" customHeight="1">
      <c r="B399" s="27"/>
    </row>
    <row r="400" ht="15.75" customHeight="1">
      <c r="B400" s="27"/>
    </row>
    <row r="401" ht="15.75" customHeight="1">
      <c r="B401" s="27"/>
    </row>
    <row r="402" ht="15.75" customHeight="1">
      <c r="B402" s="27"/>
    </row>
    <row r="403" ht="15.75" customHeight="1">
      <c r="B403" s="27"/>
    </row>
    <row r="404" ht="15.75" customHeight="1">
      <c r="B404" s="27"/>
    </row>
    <row r="405" ht="15.75" customHeight="1">
      <c r="B405" s="27"/>
    </row>
    <row r="406" ht="15.75" customHeight="1">
      <c r="B406" s="27"/>
    </row>
    <row r="407" ht="15.75" customHeight="1">
      <c r="B407" s="27"/>
    </row>
    <row r="408" ht="15.75" customHeight="1">
      <c r="B408" s="27"/>
    </row>
    <row r="409" ht="15.75" customHeight="1">
      <c r="B409" s="27"/>
    </row>
    <row r="410" ht="15.75" customHeight="1">
      <c r="B410" s="27"/>
    </row>
    <row r="411" ht="15.75" customHeight="1">
      <c r="B411" s="27"/>
    </row>
    <row r="412" ht="15.75" customHeight="1">
      <c r="B412" s="27"/>
    </row>
    <row r="413" ht="15.75" customHeight="1">
      <c r="B413" s="27"/>
    </row>
    <row r="414" ht="15.75" customHeight="1">
      <c r="B414" s="27"/>
    </row>
    <row r="415" ht="15.75" customHeight="1">
      <c r="B415" s="27"/>
    </row>
    <row r="416" ht="15.75" customHeight="1">
      <c r="B416" s="27"/>
    </row>
    <row r="417" ht="15.75" customHeight="1">
      <c r="B417" s="27"/>
    </row>
    <row r="418" ht="15.75" customHeight="1">
      <c r="B418" s="27"/>
    </row>
    <row r="419" ht="15.75" customHeight="1">
      <c r="B419" s="27"/>
    </row>
    <row r="420" ht="15.75" customHeight="1">
      <c r="B420" s="27"/>
    </row>
    <row r="421" ht="15.75" customHeight="1">
      <c r="B421" s="27"/>
    </row>
    <row r="422" ht="15.75" customHeight="1">
      <c r="B422" s="27"/>
    </row>
    <row r="423" ht="15.75" customHeight="1">
      <c r="B423" s="27"/>
    </row>
    <row r="424" ht="15.75" customHeight="1">
      <c r="B424" s="27"/>
    </row>
    <row r="425" ht="15.75" customHeight="1">
      <c r="B425" s="27"/>
    </row>
    <row r="426" ht="15.75" customHeight="1">
      <c r="B426" s="27"/>
    </row>
    <row r="427" ht="15.75" customHeight="1">
      <c r="B427" s="27"/>
    </row>
    <row r="428" ht="15.75" customHeight="1">
      <c r="B428" s="27"/>
    </row>
    <row r="429" ht="15.75" customHeight="1">
      <c r="B429" s="27"/>
    </row>
    <row r="430" ht="15.75" customHeight="1">
      <c r="B430" s="27"/>
    </row>
    <row r="431" ht="15.75" customHeight="1">
      <c r="B431" s="27"/>
    </row>
    <row r="432" ht="15.75" customHeight="1">
      <c r="B432" s="27"/>
    </row>
    <row r="433" ht="15.75" customHeight="1">
      <c r="B433" s="27"/>
    </row>
    <row r="434" ht="15.75" customHeight="1">
      <c r="B434" s="27"/>
    </row>
    <row r="435" ht="15.75" customHeight="1">
      <c r="B435" s="27"/>
    </row>
    <row r="436" ht="15.75" customHeight="1">
      <c r="B436" s="27"/>
    </row>
    <row r="437" ht="15.75" customHeight="1">
      <c r="B437" s="27"/>
    </row>
    <row r="438" ht="15.75" customHeight="1">
      <c r="B438" s="27"/>
    </row>
    <row r="439" ht="15.75" customHeight="1">
      <c r="B439" s="27"/>
    </row>
    <row r="440" ht="15.75" customHeight="1">
      <c r="B440" s="27"/>
    </row>
    <row r="441" ht="15.75" customHeight="1">
      <c r="B441" s="27"/>
    </row>
    <row r="442" ht="15.75" customHeight="1">
      <c r="B442" s="27"/>
    </row>
    <row r="443" ht="15.75" customHeight="1">
      <c r="B443" s="27"/>
    </row>
    <row r="444" ht="15.75" customHeight="1">
      <c r="B444" s="27"/>
    </row>
    <row r="445" ht="15.75" customHeight="1">
      <c r="B445" s="27"/>
    </row>
    <row r="446" ht="15.75" customHeight="1">
      <c r="B446" s="27"/>
    </row>
    <row r="447" ht="15.75" customHeight="1">
      <c r="B447" s="27"/>
    </row>
    <row r="448" ht="15.75" customHeight="1">
      <c r="B448" s="27"/>
    </row>
    <row r="449" ht="15.75" customHeight="1">
      <c r="B449" s="27"/>
    </row>
    <row r="450" ht="15.75" customHeight="1">
      <c r="B450" s="27"/>
    </row>
    <row r="451" ht="15.75" customHeight="1">
      <c r="B451" s="27"/>
    </row>
    <row r="452" ht="15.75" customHeight="1">
      <c r="B452" s="27"/>
    </row>
    <row r="453" ht="15.75" customHeight="1">
      <c r="B453" s="27"/>
    </row>
    <row r="454" ht="15.75" customHeight="1">
      <c r="B454" s="27"/>
    </row>
    <row r="455" ht="15.75" customHeight="1">
      <c r="B455" s="27"/>
    </row>
    <row r="456" ht="15.75" customHeight="1">
      <c r="B456" s="27"/>
    </row>
    <row r="457" ht="15.75" customHeight="1">
      <c r="B457" s="27"/>
    </row>
    <row r="458" ht="15.75" customHeight="1">
      <c r="B458" s="27"/>
    </row>
    <row r="459" ht="15.75" customHeight="1">
      <c r="B459" s="27"/>
    </row>
    <row r="460" ht="15.75" customHeight="1">
      <c r="B460" s="27"/>
    </row>
    <row r="461" ht="15.75" customHeight="1">
      <c r="B461" s="27"/>
    </row>
    <row r="462" ht="15.75" customHeight="1">
      <c r="B462" s="27"/>
    </row>
    <row r="463" ht="15.75" customHeight="1">
      <c r="B463" s="27"/>
    </row>
    <row r="464" ht="15.75" customHeight="1">
      <c r="B464" s="27"/>
    </row>
    <row r="465" ht="15.75" customHeight="1">
      <c r="B465" s="27"/>
    </row>
    <row r="466" ht="15.75" customHeight="1">
      <c r="B466" s="27"/>
    </row>
    <row r="467" ht="15.75" customHeight="1">
      <c r="B467" s="27"/>
    </row>
    <row r="468" ht="15.75" customHeight="1">
      <c r="B468" s="27"/>
    </row>
    <row r="469" ht="15.75" customHeight="1">
      <c r="B469" s="27"/>
    </row>
    <row r="470" ht="15.75" customHeight="1">
      <c r="B470" s="27"/>
    </row>
    <row r="471" ht="15.75" customHeight="1">
      <c r="B471" s="27"/>
    </row>
    <row r="472" ht="15.75" customHeight="1">
      <c r="B472" s="27"/>
    </row>
    <row r="473" ht="15.75" customHeight="1">
      <c r="B473" s="27"/>
    </row>
    <row r="474" ht="15.75" customHeight="1">
      <c r="B474" s="27"/>
    </row>
    <row r="475" ht="15.75" customHeight="1">
      <c r="B475" s="27"/>
    </row>
    <row r="476" ht="15.75" customHeight="1">
      <c r="B476" s="27"/>
    </row>
    <row r="477" ht="15.75" customHeight="1">
      <c r="B477" s="27"/>
    </row>
    <row r="478" ht="15.75" customHeight="1">
      <c r="B478" s="27"/>
    </row>
    <row r="479" ht="15.75" customHeight="1">
      <c r="B479" s="27"/>
    </row>
    <row r="480" ht="15.75" customHeight="1">
      <c r="B480" s="27"/>
    </row>
    <row r="481" ht="15.75" customHeight="1">
      <c r="B481" s="27"/>
    </row>
    <row r="482" ht="15.75" customHeight="1">
      <c r="B482" s="27"/>
    </row>
    <row r="483" ht="15.75" customHeight="1">
      <c r="B483" s="27"/>
    </row>
    <row r="484" ht="15.75" customHeight="1">
      <c r="B484" s="27"/>
    </row>
    <row r="485" ht="15.75" customHeight="1">
      <c r="B485" s="27"/>
    </row>
    <row r="486" ht="15.75" customHeight="1">
      <c r="B486" s="27"/>
    </row>
    <row r="487" ht="15.75" customHeight="1">
      <c r="B487" s="27"/>
    </row>
    <row r="488" ht="15.75" customHeight="1">
      <c r="B488" s="27"/>
    </row>
    <row r="489" ht="15.75" customHeight="1">
      <c r="B489" s="27"/>
    </row>
    <row r="490" ht="15.75" customHeight="1">
      <c r="B490" s="27"/>
    </row>
    <row r="491" ht="15.75" customHeight="1">
      <c r="B491" s="27"/>
    </row>
    <row r="492" ht="15.75" customHeight="1">
      <c r="B492" s="27"/>
    </row>
    <row r="493" ht="15.75" customHeight="1">
      <c r="B493" s="27"/>
    </row>
    <row r="494" ht="15.75" customHeight="1">
      <c r="B494" s="27"/>
    </row>
    <row r="495" ht="15.75" customHeight="1">
      <c r="B495" s="27"/>
    </row>
    <row r="496" ht="15.75" customHeight="1">
      <c r="B496" s="27"/>
    </row>
    <row r="497" ht="15.75" customHeight="1">
      <c r="B497" s="27"/>
    </row>
    <row r="498" ht="15.75" customHeight="1">
      <c r="B498" s="27"/>
    </row>
    <row r="499" ht="15.75" customHeight="1">
      <c r="B499" s="27"/>
    </row>
    <row r="500" ht="15.75" customHeight="1">
      <c r="B500" s="27"/>
    </row>
    <row r="501" ht="15.75" customHeight="1">
      <c r="B501" s="27"/>
    </row>
    <row r="502" ht="15.75" customHeight="1">
      <c r="B502" s="27"/>
    </row>
    <row r="503" ht="15.75" customHeight="1">
      <c r="B503" s="27"/>
    </row>
    <row r="504" ht="15.75" customHeight="1">
      <c r="B504" s="27"/>
    </row>
    <row r="505" ht="15.75" customHeight="1">
      <c r="B505" s="27"/>
    </row>
    <row r="506" ht="15.75" customHeight="1">
      <c r="B506" s="27"/>
    </row>
    <row r="507" ht="15.75" customHeight="1">
      <c r="B507" s="27"/>
    </row>
    <row r="508" ht="15.75" customHeight="1">
      <c r="B508" s="27"/>
    </row>
    <row r="509" ht="15.75" customHeight="1">
      <c r="B509" s="27"/>
    </row>
    <row r="510" ht="15.75" customHeight="1">
      <c r="B510" s="27"/>
    </row>
    <row r="511" ht="15.75" customHeight="1">
      <c r="B511" s="27"/>
    </row>
    <row r="512" ht="15.75" customHeight="1">
      <c r="B512" s="27"/>
    </row>
    <row r="513" ht="15.75" customHeight="1">
      <c r="B513" s="27"/>
    </row>
    <row r="514" ht="15.75" customHeight="1">
      <c r="B514" s="27"/>
    </row>
    <row r="515" ht="15.75" customHeight="1">
      <c r="B515" s="27"/>
    </row>
    <row r="516" ht="15.75" customHeight="1">
      <c r="B516" s="27"/>
    </row>
    <row r="517" ht="15.75" customHeight="1">
      <c r="B517" s="27"/>
    </row>
    <row r="518" ht="15.75" customHeight="1">
      <c r="B518" s="27"/>
    </row>
    <row r="519" ht="15.75" customHeight="1">
      <c r="B519" s="27"/>
    </row>
    <row r="520" ht="15.75" customHeight="1">
      <c r="B520" s="27"/>
    </row>
    <row r="521" ht="15.75" customHeight="1">
      <c r="B521" s="27"/>
    </row>
    <row r="522" ht="15.75" customHeight="1">
      <c r="B522" s="27"/>
    </row>
    <row r="523" ht="15.75" customHeight="1">
      <c r="B523" s="27"/>
    </row>
    <row r="524" ht="15.75" customHeight="1">
      <c r="B524" s="27"/>
    </row>
    <row r="525" ht="15.75" customHeight="1">
      <c r="B525" s="27"/>
    </row>
    <row r="526" ht="15.75" customHeight="1">
      <c r="B526" s="27"/>
    </row>
    <row r="527" ht="15.75" customHeight="1">
      <c r="B527" s="27"/>
    </row>
    <row r="528" ht="15.75" customHeight="1">
      <c r="B528" s="27"/>
    </row>
    <row r="529" ht="15.75" customHeight="1">
      <c r="B529" s="27"/>
    </row>
    <row r="530" ht="15.75" customHeight="1">
      <c r="B530" s="27"/>
    </row>
    <row r="531" ht="15.75" customHeight="1">
      <c r="B531" s="27"/>
    </row>
    <row r="532" ht="15.75" customHeight="1">
      <c r="B532" s="27"/>
    </row>
    <row r="533" ht="15.75" customHeight="1">
      <c r="B533" s="27"/>
    </row>
    <row r="534" ht="15.75" customHeight="1">
      <c r="B534" s="27"/>
    </row>
    <row r="535" ht="15.75" customHeight="1">
      <c r="B535" s="27"/>
    </row>
    <row r="536" ht="15.75" customHeight="1">
      <c r="B536" s="27"/>
    </row>
    <row r="537" ht="15.75" customHeight="1">
      <c r="B537" s="27"/>
    </row>
    <row r="538" ht="15.75" customHeight="1">
      <c r="B538" s="27"/>
    </row>
    <row r="539" ht="15.75" customHeight="1">
      <c r="B539" s="27"/>
    </row>
    <row r="540" ht="15.75" customHeight="1">
      <c r="B540" s="27"/>
    </row>
    <row r="541" ht="15.75" customHeight="1">
      <c r="B541" s="27"/>
    </row>
    <row r="542" ht="15.75" customHeight="1">
      <c r="B542" s="27"/>
    </row>
    <row r="543" ht="15.75" customHeight="1">
      <c r="B543" s="27"/>
    </row>
    <row r="544" ht="15.75" customHeight="1">
      <c r="B544" s="27"/>
    </row>
    <row r="545" ht="15.75" customHeight="1">
      <c r="B545" s="27"/>
    </row>
    <row r="546" ht="15.75" customHeight="1">
      <c r="B546" s="27"/>
    </row>
    <row r="547" ht="15.75" customHeight="1">
      <c r="B547" s="27"/>
    </row>
    <row r="548" ht="15.75" customHeight="1">
      <c r="B548" s="27"/>
    </row>
    <row r="549" ht="15.75" customHeight="1">
      <c r="B549" s="27"/>
    </row>
    <row r="550" ht="15.75" customHeight="1">
      <c r="B550" s="27"/>
    </row>
    <row r="551" ht="15.75" customHeight="1">
      <c r="B551" s="27"/>
    </row>
    <row r="552" ht="15.75" customHeight="1">
      <c r="B552" s="27"/>
    </row>
    <row r="553" ht="15.75" customHeight="1">
      <c r="B553" s="27"/>
    </row>
    <row r="554" ht="15.75" customHeight="1">
      <c r="B554" s="27"/>
    </row>
    <row r="555" ht="15.75" customHeight="1">
      <c r="B555" s="27"/>
    </row>
    <row r="556" ht="15.75" customHeight="1">
      <c r="B556" s="27"/>
    </row>
    <row r="557" ht="15.75" customHeight="1">
      <c r="B557" s="27"/>
    </row>
    <row r="558" ht="15.75" customHeight="1">
      <c r="B558" s="27"/>
    </row>
    <row r="559" ht="15.75" customHeight="1">
      <c r="B559" s="27"/>
    </row>
    <row r="560" ht="15.75" customHeight="1">
      <c r="B560" s="27"/>
    </row>
    <row r="561" ht="15.75" customHeight="1">
      <c r="B561" s="27"/>
    </row>
    <row r="562" ht="15.75" customHeight="1">
      <c r="B562" s="27"/>
    </row>
    <row r="563" ht="15.75" customHeight="1">
      <c r="B563" s="27"/>
    </row>
    <row r="564" ht="15.75" customHeight="1">
      <c r="B564" s="27"/>
    </row>
    <row r="565" ht="15.75" customHeight="1">
      <c r="B565" s="27"/>
    </row>
    <row r="566" ht="15.75" customHeight="1">
      <c r="B566" s="27"/>
    </row>
    <row r="567" ht="15.75" customHeight="1">
      <c r="B567" s="27"/>
    </row>
    <row r="568" ht="15.75" customHeight="1">
      <c r="B568" s="27"/>
    </row>
    <row r="569" ht="15.75" customHeight="1">
      <c r="B569" s="27"/>
    </row>
    <row r="570" ht="15.75" customHeight="1">
      <c r="B570" s="27"/>
    </row>
    <row r="571" ht="15.75" customHeight="1">
      <c r="B571" s="27"/>
    </row>
    <row r="572" ht="15.75" customHeight="1">
      <c r="B572" s="27"/>
    </row>
    <row r="573" ht="15.75" customHeight="1">
      <c r="B573" s="27"/>
    </row>
    <row r="574" ht="15.75" customHeight="1">
      <c r="B574" s="27"/>
    </row>
    <row r="575" ht="15.75" customHeight="1">
      <c r="B575" s="27"/>
    </row>
    <row r="576" ht="15.75" customHeight="1">
      <c r="B576" s="27"/>
    </row>
    <row r="577" ht="15.75" customHeight="1">
      <c r="B577" s="27"/>
    </row>
    <row r="578" ht="15.75" customHeight="1">
      <c r="B578" s="27"/>
    </row>
    <row r="579" ht="15.75" customHeight="1">
      <c r="B579" s="27"/>
    </row>
    <row r="580" ht="15.75" customHeight="1">
      <c r="B580" s="27"/>
    </row>
    <row r="581" ht="15.75" customHeight="1">
      <c r="B581" s="27"/>
    </row>
    <row r="582" ht="15.75" customHeight="1">
      <c r="B582" s="27"/>
    </row>
    <row r="583" ht="15.75" customHeight="1">
      <c r="B583" s="27"/>
    </row>
    <row r="584" ht="15.75" customHeight="1">
      <c r="B584" s="27"/>
    </row>
    <row r="585" ht="15.75" customHeight="1">
      <c r="B585" s="27"/>
    </row>
    <row r="586" ht="15.75" customHeight="1">
      <c r="B586" s="27"/>
    </row>
    <row r="587" ht="15.75" customHeight="1">
      <c r="B587" s="27"/>
    </row>
    <row r="588" ht="15.75" customHeight="1">
      <c r="B588" s="27"/>
    </row>
    <row r="589" ht="15.75" customHeight="1">
      <c r="B589" s="27"/>
    </row>
    <row r="590" ht="15.75" customHeight="1">
      <c r="B590" s="27"/>
    </row>
    <row r="591" ht="15.75" customHeight="1">
      <c r="B591" s="27"/>
    </row>
    <row r="592" ht="15.75" customHeight="1">
      <c r="B592" s="27"/>
    </row>
    <row r="593" ht="15.75" customHeight="1">
      <c r="B593" s="27"/>
    </row>
    <row r="594" ht="15.75" customHeight="1">
      <c r="B594" s="27"/>
    </row>
    <row r="595" ht="15.75" customHeight="1">
      <c r="B595" s="27"/>
    </row>
    <row r="596" ht="15.75" customHeight="1">
      <c r="B596" s="27"/>
    </row>
    <row r="597" ht="15.75" customHeight="1">
      <c r="B597" s="27"/>
    </row>
    <row r="598" ht="15.75" customHeight="1">
      <c r="B598" s="27"/>
    </row>
    <row r="599" ht="15.75" customHeight="1">
      <c r="B599" s="27"/>
    </row>
    <row r="600" ht="15.75" customHeight="1">
      <c r="B600" s="27"/>
    </row>
    <row r="601" ht="15.75" customHeight="1">
      <c r="B601" s="27"/>
    </row>
    <row r="602" ht="15.75" customHeight="1">
      <c r="B602" s="27"/>
    </row>
    <row r="603" ht="15.75" customHeight="1">
      <c r="B603" s="27"/>
    </row>
    <row r="604" ht="15.75" customHeight="1">
      <c r="B604" s="27"/>
    </row>
    <row r="605" ht="15.75" customHeight="1">
      <c r="B605" s="27"/>
    </row>
    <row r="606" ht="15.75" customHeight="1">
      <c r="B606" s="27"/>
    </row>
    <row r="607" ht="15.75" customHeight="1">
      <c r="B607" s="27"/>
    </row>
    <row r="608" ht="15.75" customHeight="1">
      <c r="B608" s="27"/>
    </row>
    <row r="609" ht="15.75" customHeight="1">
      <c r="B609" s="27"/>
    </row>
    <row r="610" ht="15.75" customHeight="1">
      <c r="B610" s="27"/>
    </row>
    <row r="611" ht="15.75" customHeight="1">
      <c r="B611" s="27"/>
    </row>
    <row r="612" ht="15.75" customHeight="1">
      <c r="B612" s="27"/>
    </row>
    <row r="613" ht="15.75" customHeight="1">
      <c r="B613" s="27"/>
    </row>
    <row r="614" ht="15.75" customHeight="1">
      <c r="B614" s="27"/>
    </row>
    <row r="615" ht="15.75" customHeight="1">
      <c r="B615" s="27"/>
    </row>
    <row r="616" ht="15.75" customHeight="1">
      <c r="B616" s="27"/>
    </row>
    <row r="617" ht="15.75" customHeight="1">
      <c r="B617" s="27"/>
    </row>
    <row r="618" ht="15.75" customHeight="1">
      <c r="B618" s="27"/>
    </row>
    <row r="619" ht="15.75" customHeight="1">
      <c r="B619" s="27"/>
    </row>
    <row r="620" ht="15.75" customHeight="1">
      <c r="B620" s="27"/>
    </row>
    <row r="621" ht="15.75" customHeight="1">
      <c r="B621" s="27"/>
    </row>
    <row r="622" ht="15.75" customHeight="1">
      <c r="B622" s="27"/>
    </row>
    <row r="623" ht="15.75" customHeight="1">
      <c r="B623" s="27"/>
    </row>
    <row r="624" ht="15.75" customHeight="1">
      <c r="B624" s="27"/>
    </row>
    <row r="625" ht="15.75" customHeight="1">
      <c r="B625" s="27"/>
    </row>
    <row r="626" ht="15.75" customHeight="1">
      <c r="B626" s="27"/>
    </row>
    <row r="627" ht="15.75" customHeight="1">
      <c r="B627" s="27"/>
    </row>
    <row r="628" ht="15.75" customHeight="1">
      <c r="B628" s="27"/>
    </row>
    <row r="629" ht="15.75" customHeight="1">
      <c r="B629" s="27"/>
    </row>
    <row r="630" ht="15.75" customHeight="1">
      <c r="B630" s="27"/>
    </row>
    <row r="631" ht="15.75" customHeight="1">
      <c r="B631" s="27"/>
    </row>
    <row r="632" ht="15.75" customHeight="1">
      <c r="B632" s="27"/>
    </row>
    <row r="633" ht="15.75" customHeight="1">
      <c r="B633" s="27"/>
    </row>
    <row r="634" ht="15.75" customHeight="1">
      <c r="B634" s="27"/>
    </row>
    <row r="635" ht="15.75" customHeight="1">
      <c r="B635" s="27"/>
    </row>
    <row r="636" ht="15.75" customHeight="1">
      <c r="B636" s="27"/>
    </row>
    <row r="637" ht="15.75" customHeight="1">
      <c r="B637" s="27"/>
    </row>
    <row r="638" ht="15.75" customHeight="1">
      <c r="B638" s="27"/>
    </row>
    <row r="639" ht="15.75" customHeight="1">
      <c r="B639" s="27"/>
    </row>
    <row r="640" ht="15.75" customHeight="1">
      <c r="B640" s="27"/>
    </row>
    <row r="641" ht="15.75" customHeight="1">
      <c r="B641" s="27"/>
    </row>
    <row r="642" ht="15.75" customHeight="1">
      <c r="B642" s="27"/>
    </row>
    <row r="643" ht="15.75" customHeight="1">
      <c r="B643" s="27"/>
    </row>
    <row r="644" ht="15.75" customHeight="1">
      <c r="B644" s="27"/>
    </row>
    <row r="645" ht="15.75" customHeight="1">
      <c r="B645" s="27"/>
    </row>
    <row r="646" ht="15.75" customHeight="1">
      <c r="B646" s="27"/>
    </row>
    <row r="647" ht="15.75" customHeight="1">
      <c r="B647" s="27"/>
    </row>
    <row r="648" ht="15.75" customHeight="1">
      <c r="B648" s="27"/>
    </row>
    <row r="649" ht="15.75" customHeight="1">
      <c r="B649" s="27"/>
    </row>
    <row r="650" ht="15.75" customHeight="1">
      <c r="B650" s="27"/>
    </row>
    <row r="651" ht="15.75" customHeight="1">
      <c r="B651" s="27"/>
    </row>
    <row r="652" ht="15.75" customHeight="1">
      <c r="B652" s="27"/>
    </row>
    <row r="653" ht="15.75" customHeight="1">
      <c r="B653" s="27"/>
    </row>
    <row r="654" ht="15.75" customHeight="1">
      <c r="B654" s="27"/>
    </row>
    <row r="655" ht="15.75" customHeight="1">
      <c r="B655" s="27"/>
    </row>
    <row r="656" ht="15.75" customHeight="1">
      <c r="B656" s="27"/>
    </row>
    <row r="657" ht="15.75" customHeight="1">
      <c r="B657" s="27"/>
    </row>
    <row r="658" ht="15.75" customHeight="1">
      <c r="B658" s="27"/>
    </row>
    <row r="659" ht="15.75" customHeight="1">
      <c r="B659" s="27"/>
    </row>
    <row r="660" ht="15.75" customHeight="1">
      <c r="B660" s="27"/>
    </row>
    <row r="661" ht="15.75" customHeight="1">
      <c r="B661" s="27"/>
    </row>
    <row r="662" ht="15.75" customHeight="1">
      <c r="B662" s="27"/>
    </row>
    <row r="663" ht="15.75" customHeight="1">
      <c r="B663" s="27"/>
    </row>
    <row r="664" ht="15.75" customHeight="1">
      <c r="B664" s="27"/>
    </row>
    <row r="665" ht="15.75" customHeight="1">
      <c r="B665" s="27"/>
    </row>
    <row r="666" ht="15.75" customHeight="1">
      <c r="B666" s="27"/>
    </row>
    <row r="667" ht="15.75" customHeight="1">
      <c r="B667" s="27"/>
    </row>
    <row r="668" ht="15.75" customHeight="1">
      <c r="B668" s="27"/>
    </row>
    <row r="669" ht="15.75" customHeight="1">
      <c r="B669" s="27"/>
    </row>
    <row r="670" ht="15.75" customHeight="1">
      <c r="B670" s="27"/>
    </row>
    <row r="671" ht="15.75" customHeight="1">
      <c r="B671" s="27"/>
    </row>
    <row r="672" ht="15.75" customHeight="1">
      <c r="B672" s="27"/>
    </row>
    <row r="673" ht="15.75" customHeight="1">
      <c r="B673" s="27"/>
    </row>
    <row r="674" ht="15.75" customHeight="1">
      <c r="B674" s="27"/>
    </row>
    <row r="675" ht="15.75" customHeight="1">
      <c r="B675" s="27"/>
    </row>
    <row r="676" ht="15.75" customHeight="1">
      <c r="B676" s="27"/>
    </row>
    <row r="677" ht="15.75" customHeight="1">
      <c r="B677" s="27"/>
    </row>
    <row r="678" ht="15.75" customHeight="1">
      <c r="B678" s="27"/>
    </row>
    <row r="679" ht="15.75" customHeight="1">
      <c r="B679" s="27"/>
    </row>
    <row r="680" ht="15.75" customHeight="1">
      <c r="B680" s="27"/>
    </row>
    <row r="681" ht="15.75" customHeight="1">
      <c r="B681" s="27"/>
    </row>
    <row r="682" ht="15.75" customHeight="1">
      <c r="B682" s="27"/>
    </row>
    <row r="683" ht="15.75" customHeight="1">
      <c r="B683" s="27"/>
    </row>
    <row r="684" ht="15.75" customHeight="1">
      <c r="B684" s="27"/>
    </row>
    <row r="685" ht="15.75" customHeight="1">
      <c r="B685" s="27"/>
    </row>
    <row r="686" ht="15.75" customHeight="1">
      <c r="B686" s="27"/>
    </row>
    <row r="687" ht="15.75" customHeight="1">
      <c r="B687" s="27"/>
    </row>
    <row r="688" ht="15.75" customHeight="1">
      <c r="B688" s="27"/>
    </row>
    <row r="689" ht="15.75" customHeight="1">
      <c r="B689" s="27"/>
    </row>
    <row r="690" ht="15.75" customHeight="1">
      <c r="B690" s="27"/>
    </row>
    <row r="691" ht="15.75" customHeight="1">
      <c r="B691" s="27"/>
    </row>
    <row r="692" ht="15.75" customHeight="1">
      <c r="B692" s="27"/>
    </row>
    <row r="693" ht="15.75" customHeight="1">
      <c r="B693" s="27"/>
    </row>
    <row r="694" ht="15.75" customHeight="1">
      <c r="B694" s="27"/>
    </row>
    <row r="695" ht="15.75" customHeight="1">
      <c r="B695" s="27"/>
    </row>
    <row r="696" ht="15.75" customHeight="1">
      <c r="B696" s="27"/>
    </row>
    <row r="697" ht="15.75" customHeight="1">
      <c r="B697" s="27"/>
    </row>
    <row r="698" ht="15.75" customHeight="1">
      <c r="B698" s="27"/>
    </row>
    <row r="699" ht="15.75" customHeight="1">
      <c r="B699" s="27"/>
    </row>
    <row r="700" ht="15.75" customHeight="1">
      <c r="B700" s="27"/>
    </row>
    <row r="701" ht="15.75" customHeight="1">
      <c r="B701" s="27"/>
    </row>
    <row r="702" ht="15.75" customHeight="1">
      <c r="B702" s="27"/>
    </row>
    <row r="703" ht="15.75" customHeight="1">
      <c r="B703" s="27"/>
    </row>
    <row r="704" ht="15.75" customHeight="1">
      <c r="B704" s="27"/>
    </row>
    <row r="705" ht="15.75" customHeight="1">
      <c r="B705" s="27"/>
    </row>
    <row r="706" ht="15.75" customHeight="1">
      <c r="B706" s="27"/>
    </row>
    <row r="707" ht="15.75" customHeight="1">
      <c r="B707" s="27"/>
    </row>
    <row r="708" ht="15.75" customHeight="1">
      <c r="B708" s="27"/>
    </row>
    <row r="709" ht="15.75" customHeight="1">
      <c r="B709" s="27"/>
    </row>
    <row r="710" ht="15.75" customHeight="1">
      <c r="B710" s="27"/>
    </row>
    <row r="711" ht="15.75" customHeight="1">
      <c r="B711" s="27"/>
    </row>
    <row r="712" ht="15.75" customHeight="1">
      <c r="B712" s="27"/>
    </row>
    <row r="713" ht="15.75" customHeight="1">
      <c r="B713" s="27"/>
    </row>
    <row r="714" ht="15.75" customHeight="1">
      <c r="B714" s="27"/>
    </row>
    <row r="715" ht="15.75" customHeight="1">
      <c r="B715" s="27"/>
    </row>
    <row r="716" ht="15.75" customHeight="1">
      <c r="B716" s="27"/>
    </row>
    <row r="717" ht="15.75" customHeight="1">
      <c r="B717" s="27"/>
    </row>
    <row r="718" ht="15.75" customHeight="1">
      <c r="B718" s="27"/>
    </row>
    <row r="719" ht="15.75" customHeight="1">
      <c r="B719" s="27"/>
    </row>
    <row r="720" ht="15.75" customHeight="1">
      <c r="B720" s="27"/>
    </row>
    <row r="721" ht="15.75" customHeight="1">
      <c r="B721" s="27"/>
    </row>
    <row r="722" ht="15.75" customHeight="1">
      <c r="B722" s="27"/>
    </row>
    <row r="723" ht="15.75" customHeight="1">
      <c r="B723" s="27"/>
    </row>
    <row r="724" ht="15.75" customHeight="1">
      <c r="B724" s="27"/>
    </row>
    <row r="725" ht="15.75" customHeight="1">
      <c r="B725" s="27"/>
    </row>
    <row r="726" ht="15.75" customHeight="1">
      <c r="B726" s="27"/>
    </row>
    <row r="727" ht="15.75" customHeight="1">
      <c r="B727" s="27"/>
    </row>
    <row r="728" ht="15.75" customHeight="1">
      <c r="B728" s="27"/>
    </row>
    <row r="729" ht="15.75" customHeight="1">
      <c r="B729" s="27"/>
    </row>
    <row r="730" ht="15.75" customHeight="1">
      <c r="B730" s="27"/>
    </row>
    <row r="731" ht="15.75" customHeight="1">
      <c r="B731" s="27"/>
    </row>
    <row r="732" ht="15.75" customHeight="1">
      <c r="B732" s="27"/>
    </row>
    <row r="733" ht="15.75" customHeight="1">
      <c r="B733" s="27"/>
    </row>
    <row r="734" ht="15.75" customHeight="1">
      <c r="B734" s="27"/>
    </row>
    <row r="735" ht="15.75" customHeight="1">
      <c r="B735" s="27"/>
    </row>
    <row r="736" ht="15.75" customHeight="1">
      <c r="B736" s="27"/>
    </row>
    <row r="737" ht="15.75" customHeight="1">
      <c r="B737" s="27"/>
    </row>
    <row r="738" ht="15.75" customHeight="1">
      <c r="B738" s="27"/>
    </row>
    <row r="739" ht="15.75" customHeight="1">
      <c r="B739" s="27"/>
    </row>
    <row r="740" ht="15.75" customHeight="1">
      <c r="B740" s="27"/>
    </row>
    <row r="741" ht="15.75" customHeight="1">
      <c r="B741" s="27"/>
    </row>
    <row r="742" ht="15.75" customHeight="1">
      <c r="B742" s="27"/>
    </row>
    <row r="743" ht="15.75" customHeight="1">
      <c r="B743" s="27"/>
    </row>
    <row r="744" ht="15.75" customHeight="1">
      <c r="B744" s="27"/>
    </row>
    <row r="745" ht="15.75" customHeight="1">
      <c r="B745" s="27"/>
    </row>
    <row r="746" ht="15.75" customHeight="1">
      <c r="B746" s="27"/>
    </row>
    <row r="747" ht="15.75" customHeight="1">
      <c r="B747" s="27"/>
    </row>
    <row r="748" ht="15.75" customHeight="1">
      <c r="B748" s="27"/>
    </row>
    <row r="749" ht="15.75" customHeight="1">
      <c r="B749" s="27"/>
    </row>
    <row r="750" ht="15.75" customHeight="1">
      <c r="B750" s="27"/>
    </row>
    <row r="751" ht="15.75" customHeight="1">
      <c r="B751" s="27"/>
    </row>
    <row r="752" ht="15.75" customHeight="1">
      <c r="B752" s="27"/>
    </row>
    <row r="753" ht="15.75" customHeight="1">
      <c r="B753" s="27"/>
    </row>
    <row r="754" ht="15.75" customHeight="1">
      <c r="B754" s="27"/>
    </row>
    <row r="755" ht="15.75" customHeight="1">
      <c r="B755" s="27"/>
    </row>
    <row r="756" ht="15.75" customHeight="1">
      <c r="B756" s="27"/>
    </row>
    <row r="757" ht="15.75" customHeight="1">
      <c r="B757" s="27"/>
    </row>
    <row r="758" ht="15.75" customHeight="1">
      <c r="B758" s="27"/>
    </row>
    <row r="759" ht="15.75" customHeight="1">
      <c r="B759" s="27"/>
    </row>
    <row r="760" ht="15.75" customHeight="1">
      <c r="B760" s="27"/>
    </row>
    <row r="761" ht="15.75" customHeight="1">
      <c r="B761" s="27"/>
    </row>
    <row r="762" ht="15.75" customHeight="1">
      <c r="B762" s="27"/>
    </row>
    <row r="763" ht="15.75" customHeight="1">
      <c r="B763" s="27"/>
    </row>
    <row r="764" ht="15.75" customHeight="1">
      <c r="B764" s="27"/>
    </row>
    <row r="765" ht="15.75" customHeight="1">
      <c r="B765" s="27"/>
    </row>
    <row r="766" ht="15.75" customHeight="1">
      <c r="B766" s="27"/>
    </row>
    <row r="767" ht="15.75" customHeight="1">
      <c r="B767" s="27"/>
    </row>
    <row r="768" ht="15.75" customHeight="1">
      <c r="B768" s="27"/>
    </row>
    <row r="769" ht="15.75" customHeight="1">
      <c r="B769" s="27"/>
    </row>
    <row r="770" ht="15.75" customHeight="1">
      <c r="B770" s="27"/>
    </row>
    <row r="771" ht="15.75" customHeight="1">
      <c r="B771" s="27"/>
    </row>
    <row r="772" ht="15.75" customHeight="1">
      <c r="B772" s="27"/>
    </row>
    <row r="773" ht="15.75" customHeight="1">
      <c r="B773" s="27"/>
    </row>
    <row r="774" ht="15.75" customHeight="1">
      <c r="B774" s="27"/>
    </row>
    <row r="775" ht="15.75" customHeight="1">
      <c r="B775" s="27"/>
    </row>
    <row r="776" ht="15.75" customHeight="1">
      <c r="B776" s="27"/>
    </row>
    <row r="777" ht="15.75" customHeight="1">
      <c r="B777" s="27"/>
    </row>
    <row r="778" ht="15.75" customHeight="1">
      <c r="B778" s="27"/>
    </row>
    <row r="779" ht="15.75" customHeight="1">
      <c r="B779" s="27"/>
    </row>
    <row r="780" ht="15.75" customHeight="1">
      <c r="B780" s="27"/>
    </row>
    <row r="781" ht="15.75" customHeight="1">
      <c r="B781" s="27"/>
    </row>
    <row r="782" ht="15.75" customHeight="1">
      <c r="B782" s="27"/>
    </row>
    <row r="783" ht="15.75" customHeight="1">
      <c r="B783" s="27"/>
    </row>
    <row r="784" ht="15.75" customHeight="1">
      <c r="B784" s="27"/>
    </row>
    <row r="785" ht="15.75" customHeight="1">
      <c r="B785" s="27"/>
    </row>
    <row r="786" ht="15.75" customHeight="1">
      <c r="B786" s="27"/>
    </row>
    <row r="787" ht="15.75" customHeight="1">
      <c r="B787" s="27"/>
    </row>
    <row r="788" ht="15.75" customHeight="1">
      <c r="B788" s="27"/>
    </row>
    <row r="789" ht="15.75" customHeight="1">
      <c r="B789" s="27"/>
    </row>
    <row r="790" ht="15.75" customHeight="1">
      <c r="B790" s="27"/>
    </row>
    <row r="791" ht="15.75" customHeight="1">
      <c r="B791" s="27"/>
    </row>
    <row r="792" ht="15.75" customHeight="1">
      <c r="B792" s="27"/>
    </row>
    <row r="793" ht="15.75" customHeight="1">
      <c r="B793" s="27"/>
    </row>
    <row r="794" ht="15.75" customHeight="1">
      <c r="B794" s="27"/>
    </row>
    <row r="795" ht="15.75" customHeight="1">
      <c r="B795" s="27"/>
    </row>
    <row r="796" ht="15.75" customHeight="1">
      <c r="B796" s="27"/>
    </row>
    <row r="797" ht="15.75" customHeight="1">
      <c r="B797" s="27"/>
    </row>
    <row r="798" ht="15.75" customHeight="1">
      <c r="B798" s="27"/>
    </row>
    <row r="799" ht="15.75" customHeight="1">
      <c r="B799" s="27"/>
    </row>
    <row r="800" ht="15.75" customHeight="1">
      <c r="B800" s="27"/>
    </row>
    <row r="801" ht="15.75" customHeight="1">
      <c r="B801" s="27"/>
    </row>
    <row r="802" ht="15.75" customHeight="1">
      <c r="B802" s="27"/>
    </row>
    <row r="803" ht="15.75" customHeight="1">
      <c r="B803" s="27"/>
    </row>
    <row r="804" ht="15.75" customHeight="1">
      <c r="B804" s="27"/>
    </row>
    <row r="805" ht="15.75" customHeight="1">
      <c r="B805" s="27"/>
    </row>
    <row r="806" ht="15.75" customHeight="1">
      <c r="B806" s="27"/>
    </row>
    <row r="807" ht="15.75" customHeight="1">
      <c r="B807" s="27"/>
    </row>
    <row r="808" ht="15.75" customHeight="1">
      <c r="B808" s="27"/>
    </row>
    <row r="809" ht="15.75" customHeight="1">
      <c r="B809" s="27"/>
    </row>
    <row r="810" ht="15.75" customHeight="1">
      <c r="B810" s="27"/>
    </row>
    <row r="811" ht="15.75" customHeight="1">
      <c r="B811" s="27"/>
    </row>
    <row r="812" ht="15.75" customHeight="1">
      <c r="B812" s="27"/>
    </row>
    <row r="813" ht="15.75" customHeight="1">
      <c r="B813" s="27"/>
    </row>
    <row r="814" ht="15.75" customHeight="1">
      <c r="B814" s="27"/>
    </row>
    <row r="815" ht="15.75" customHeight="1">
      <c r="B815" s="27"/>
    </row>
    <row r="816" ht="15.75" customHeight="1">
      <c r="B816" s="27"/>
    </row>
    <row r="817" ht="15.75" customHeight="1">
      <c r="B817" s="27"/>
    </row>
    <row r="818" ht="15.75" customHeight="1">
      <c r="B818" s="27"/>
    </row>
    <row r="819" ht="15.75" customHeight="1">
      <c r="B819" s="27"/>
    </row>
    <row r="820" ht="15.75" customHeight="1">
      <c r="B820" s="27"/>
    </row>
    <row r="821" ht="15.75" customHeight="1">
      <c r="B821" s="27"/>
    </row>
    <row r="822" ht="15.75" customHeight="1">
      <c r="B822" s="27"/>
    </row>
    <row r="823" ht="15.75" customHeight="1">
      <c r="B823" s="27"/>
    </row>
    <row r="824" ht="15.75" customHeight="1">
      <c r="B824" s="27"/>
    </row>
    <row r="825" ht="15.75" customHeight="1">
      <c r="B825" s="27"/>
    </row>
    <row r="826" ht="15.75" customHeight="1">
      <c r="B826" s="27"/>
    </row>
    <row r="827" ht="15.75" customHeight="1">
      <c r="B827" s="27"/>
    </row>
    <row r="828" ht="15.75" customHeight="1">
      <c r="B828" s="27"/>
    </row>
    <row r="829" ht="15.75" customHeight="1">
      <c r="B829" s="27"/>
    </row>
    <row r="830" ht="15.75" customHeight="1">
      <c r="B830" s="27"/>
    </row>
    <row r="831" ht="15.75" customHeight="1">
      <c r="B831" s="27"/>
    </row>
    <row r="832" ht="15.75" customHeight="1">
      <c r="B832" s="27"/>
    </row>
    <row r="833" ht="15.75" customHeight="1">
      <c r="B833" s="27"/>
    </row>
    <row r="834" ht="15.75" customHeight="1">
      <c r="B834" s="27"/>
    </row>
    <row r="835" ht="15.75" customHeight="1">
      <c r="B835" s="27"/>
    </row>
    <row r="836" ht="15.75" customHeight="1">
      <c r="B836" s="27"/>
    </row>
    <row r="837" ht="15.75" customHeight="1">
      <c r="B837" s="27"/>
    </row>
    <row r="838" ht="15.75" customHeight="1">
      <c r="B838" s="27"/>
    </row>
    <row r="839" ht="15.75" customHeight="1">
      <c r="B839" s="27"/>
    </row>
    <row r="840" ht="15.75" customHeight="1">
      <c r="B840" s="27"/>
    </row>
    <row r="841" ht="15.75" customHeight="1">
      <c r="B841" s="27"/>
    </row>
    <row r="842" ht="15.75" customHeight="1">
      <c r="B842" s="27"/>
    </row>
    <row r="843" ht="15.75" customHeight="1">
      <c r="B843" s="27"/>
    </row>
    <row r="844" ht="15.75" customHeight="1">
      <c r="B844" s="27"/>
    </row>
    <row r="845" ht="15.75" customHeight="1">
      <c r="B845" s="27"/>
    </row>
    <row r="846" ht="15.75" customHeight="1">
      <c r="B846" s="27"/>
    </row>
    <row r="847" ht="15.75" customHeight="1">
      <c r="B847" s="27"/>
    </row>
    <row r="848" ht="15.75" customHeight="1">
      <c r="B848" s="27"/>
    </row>
    <row r="849" ht="15.75" customHeight="1">
      <c r="B849" s="27"/>
    </row>
    <row r="850" ht="15.75" customHeight="1">
      <c r="B850" s="27"/>
    </row>
    <row r="851" ht="15.75" customHeight="1">
      <c r="B851" s="27"/>
    </row>
    <row r="852" ht="15.75" customHeight="1">
      <c r="B852" s="27"/>
    </row>
    <row r="853" ht="15.75" customHeight="1">
      <c r="B853" s="27"/>
    </row>
    <row r="854" ht="15.75" customHeight="1">
      <c r="B854" s="27"/>
    </row>
    <row r="855" ht="15.75" customHeight="1">
      <c r="B855" s="27"/>
    </row>
    <row r="856" ht="15.75" customHeight="1">
      <c r="B856" s="27"/>
    </row>
    <row r="857" ht="15.75" customHeight="1">
      <c r="B857" s="27"/>
    </row>
    <row r="858" ht="15.75" customHeight="1">
      <c r="B858" s="27"/>
    </row>
    <row r="859" ht="15.75" customHeight="1">
      <c r="B859" s="27"/>
    </row>
    <row r="860" ht="15.75" customHeight="1">
      <c r="B860" s="27"/>
    </row>
    <row r="861" ht="15.75" customHeight="1">
      <c r="B861" s="27"/>
    </row>
    <row r="862" ht="15.75" customHeight="1">
      <c r="B862" s="27"/>
    </row>
    <row r="863" ht="15.75" customHeight="1">
      <c r="B863" s="27"/>
    </row>
    <row r="864" ht="15.75" customHeight="1">
      <c r="B864" s="27"/>
    </row>
    <row r="865" ht="15.75" customHeight="1">
      <c r="B865" s="27"/>
    </row>
    <row r="866" ht="15.75" customHeight="1">
      <c r="B866" s="27"/>
    </row>
    <row r="867" ht="15.75" customHeight="1">
      <c r="B867" s="27"/>
    </row>
    <row r="868" ht="15.75" customHeight="1">
      <c r="B868" s="27"/>
    </row>
    <row r="869" ht="15.75" customHeight="1">
      <c r="B869" s="27"/>
    </row>
    <row r="870" ht="15.75" customHeight="1">
      <c r="B870" s="27"/>
    </row>
    <row r="871" ht="15.75" customHeight="1">
      <c r="B871" s="27"/>
    </row>
    <row r="872" ht="15.75" customHeight="1">
      <c r="B872" s="27"/>
    </row>
    <row r="873" ht="15.75" customHeight="1">
      <c r="B873" s="27"/>
    </row>
    <row r="874" ht="15.75" customHeight="1">
      <c r="B874" s="27"/>
    </row>
    <row r="875" ht="15.75" customHeight="1">
      <c r="B875" s="27"/>
    </row>
    <row r="876" ht="15.75" customHeight="1">
      <c r="B876" s="27"/>
    </row>
    <row r="877" ht="15.75" customHeight="1">
      <c r="B877" s="27"/>
    </row>
    <row r="878" ht="15.75" customHeight="1">
      <c r="B878" s="27"/>
    </row>
    <row r="879" ht="15.75" customHeight="1">
      <c r="B879" s="27"/>
    </row>
    <row r="880" ht="15.75" customHeight="1">
      <c r="B880" s="27"/>
    </row>
    <row r="881" ht="15.75" customHeight="1">
      <c r="B881" s="27"/>
    </row>
    <row r="882" ht="15.75" customHeight="1">
      <c r="B882" s="27"/>
    </row>
    <row r="883" ht="15.75" customHeight="1">
      <c r="B883" s="27"/>
    </row>
    <row r="884" ht="15.75" customHeight="1">
      <c r="B884" s="27"/>
    </row>
    <row r="885" ht="15.75" customHeight="1">
      <c r="B885" s="27"/>
    </row>
    <row r="886" ht="15.75" customHeight="1">
      <c r="B886" s="27"/>
    </row>
    <row r="887" ht="15.75" customHeight="1">
      <c r="B887" s="27"/>
    </row>
    <row r="888" ht="15.75" customHeight="1">
      <c r="B888" s="27"/>
    </row>
    <row r="889" ht="15.75" customHeight="1">
      <c r="B889" s="27"/>
    </row>
    <row r="890" ht="15.75" customHeight="1">
      <c r="B890" s="27"/>
    </row>
    <row r="891" ht="15.75" customHeight="1">
      <c r="B891" s="27"/>
    </row>
    <row r="892" ht="15.75" customHeight="1">
      <c r="B892" s="27"/>
    </row>
    <row r="893" ht="15.75" customHeight="1">
      <c r="B893" s="27"/>
    </row>
    <row r="894" ht="15.75" customHeight="1">
      <c r="B894" s="27"/>
    </row>
    <row r="895" ht="15.75" customHeight="1">
      <c r="B895" s="27"/>
    </row>
    <row r="896" ht="15.75" customHeight="1">
      <c r="B896" s="27"/>
    </row>
    <row r="897" ht="15.75" customHeight="1">
      <c r="B897" s="27"/>
    </row>
    <row r="898" ht="15.75" customHeight="1">
      <c r="B898" s="27"/>
    </row>
    <row r="899" ht="15.75" customHeight="1">
      <c r="B899" s="27"/>
    </row>
    <row r="900" ht="15.75" customHeight="1">
      <c r="B900" s="27"/>
    </row>
    <row r="901" ht="15.75" customHeight="1">
      <c r="B901" s="27"/>
    </row>
    <row r="902" ht="15.75" customHeight="1">
      <c r="B902" s="27"/>
    </row>
    <row r="903" ht="15.75" customHeight="1">
      <c r="B903" s="27"/>
    </row>
    <row r="904" ht="15.75" customHeight="1">
      <c r="B904" s="27"/>
    </row>
    <row r="905" ht="15.75" customHeight="1">
      <c r="B905" s="27"/>
    </row>
    <row r="906" ht="15.75" customHeight="1">
      <c r="B906" s="27"/>
    </row>
    <row r="907" ht="15.75" customHeight="1">
      <c r="B907" s="27"/>
    </row>
    <row r="908" ht="15.75" customHeight="1">
      <c r="B908" s="27"/>
    </row>
    <row r="909" ht="15.75" customHeight="1">
      <c r="B909" s="27"/>
    </row>
    <row r="910" ht="15.75" customHeight="1">
      <c r="B910" s="27"/>
    </row>
    <row r="911" ht="15.75" customHeight="1">
      <c r="B911" s="27"/>
    </row>
    <row r="912" ht="15.75" customHeight="1">
      <c r="B912" s="27"/>
    </row>
    <row r="913" ht="15.75" customHeight="1">
      <c r="B913" s="27"/>
    </row>
    <row r="914" ht="15.75" customHeight="1">
      <c r="B914" s="27"/>
    </row>
    <row r="915" ht="15.75" customHeight="1">
      <c r="B915" s="27"/>
    </row>
    <row r="916" ht="15.75" customHeight="1">
      <c r="B916" s="27"/>
    </row>
    <row r="917" ht="15.75" customHeight="1">
      <c r="B917" s="27"/>
    </row>
    <row r="918" ht="15.75" customHeight="1">
      <c r="B918" s="27"/>
    </row>
    <row r="919" ht="15.75" customHeight="1">
      <c r="B919" s="27"/>
    </row>
    <row r="920" ht="15.75" customHeight="1">
      <c r="B920" s="27"/>
    </row>
    <row r="921" ht="15.75" customHeight="1">
      <c r="B921" s="27"/>
    </row>
    <row r="922" ht="15.75" customHeight="1">
      <c r="B922" s="27"/>
    </row>
    <row r="923" ht="15.75" customHeight="1">
      <c r="B923" s="27"/>
    </row>
    <row r="924" ht="15.75" customHeight="1">
      <c r="B924" s="27"/>
    </row>
    <row r="925" ht="15.75" customHeight="1">
      <c r="B925" s="27"/>
    </row>
    <row r="926" ht="15.75" customHeight="1">
      <c r="B926" s="27"/>
    </row>
    <row r="927" ht="15.75" customHeight="1">
      <c r="B927" s="27"/>
    </row>
    <row r="928" ht="15.75" customHeight="1">
      <c r="B928" s="27"/>
    </row>
    <row r="929" ht="15.75" customHeight="1">
      <c r="B929" s="27"/>
    </row>
    <row r="930" ht="15.75" customHeight="1">
      <c r="B930" s="27"/>
    </row>
    <row r="931" ht="15.75" customHeight="1">
      <c r="B931" s="27"/>
    </row>
    <row r="932" ht="15.75" customHeight="1">
      <c r="B932" s="27"/>
    </row>
    <row r="933" ht="15.75" customHeight="1">
      <c r="B933" s="27"/>
    </row>
    <row r="934" ht="15.75" customHeight="1">
      <c r="B934" s="27"/>
    </row>
    <row r="935" ht="15.75" customHeight="1">
      <c r="B935" s="27"/>
    </row>
    <row r="936" ht="15.75" customHeight="1">
      <c r="B936" s="27"/>
    </row>
    <row r="937" ht="15.75" customHeight="1">
      <c r="B937" s="27"/>
    </row>
    <row r="938" ht="15.75" customHeight="1">
      <c r="B938" s="27"/>
    </row>
    <row r="939" ht="15.75" customHeight="1">
      <c r="B939" s="27"/>
    </row>
    <row r="940" ht="15.75" customHeight="1">
      <c r="B940" s="27"/>
    </row>
    <row r="941" ht="15.75" customHeight="1">
      <c r="B941" s="27"/>
    </row>
    <row r="942" ht="15.75" customHeight="1">
      <c r="B942" s="27"/>
    </row>
    <row r="943" ht="15.75" customHeight="1">
      <c r="B943" s="27"/>
    </row>
    <row r="944" ht="15.75" customHeight="1">
      <c r="B944" s="27"/>
    </row>
    <row r="945" ht="15.75" customHeight="1">
      <c r="B945" s="27"/>
    </row>
    <row r="946" ht="15.75" customHeight="1">
      <c r="B946" s="27"/>
    </row>
    <row r="947" ht="15.75" customHeight="1">
      <c r="B947" s="27"/>
    </row>
    <row r="948" ht="15.75" customHeight="1">
      <c r="B948" s="27"/>
    </row>
    <row r="949" ht="15.75" customHeight="1">
      <c r="B949" s="27"/>
    </row>
    <row r="950" ht="15.75" customHeight="1">
      <c r="B950" s="27"/>
    </row>
    <row r="951" ht="15.75" customHeight="1">
      <c r="B951" s="27"/>
    </row>
    <row r="952" ht="15.75" customHeight="1">
      <c r="B952" s="27"/>
    </row>
    <row r="953" ht="15.75" customHeight="1">
      <c r="B953" s="27"/>
    </row>
    <row r="954" ht="15.75" customHeight="1">
      <c r="B954" s="27"/>
    </row>
    <row r="955" ht="15.75" customHeight="1">
      <c r="B955" s="27"/>
    </row>
    <row r="956" ht="15.75" customHeight="1">
      <c r="B956" s="27"/>
    </row>
    <row r="957" ht="15.75" customHeight="1">
      <c r="B957" s="27"/>
    </row>
    <row r="958" ht="15.75" customHeight="1">
      <c r="B958" s="27"/>
    </row>
    <row r="959" ht="15.75" customHeight="1">
      <c r="B959" s="27"/>
    </row>
    <row r="960" ht="15.75" customHeight="1">
      <c r="B960" s="27"/>
    </row>
    <row r="961" ht="15.75" customHeight="1">
      <c r="B961" s="27"/>
    </row>
    <row r="962" ht="15.75" customHeight="1">
      <c r="B962" s="27"/>
    </row>
    <row r="963" ht="15.75" customHeight="1">
      <c r="B963" s="27"/>
    </row>
    <row r="964" ht="15.75" customHeight="1">
      <c r="B964" s="27"/>
    </row>
    <row r="965" ht="15.75" customHeight="1">
      <c r="B965" s="27"/>
    </row>
    <row r="966" ht="15.75" customHeight="1">
      <c r="B966" s="27"/>
    </row>
    <row r="967" ht="15.75" customHeight="1">
      <c r="B967" s="27"/>
    </row>
    <row r="968" ht="15.75" customHeight="1">
      <c r="B968" s="27"/>
    </row>
    <row r="969" ht="15.75" customHeight="1">
      <c r="B969" s="27"/>
    </row>
    <row r="970" ht="15.75" customHeight="1">
      <c r="B970" s="27"/>
    </row>
    <row r="971" ht="15.75" customHeight="1">
      <c r="B971" s="27"/>
    </row>
    <row r="972" ht="15.75" customHeight="1">
      <c r="B972" s="27"/>
    </row>
    <row r="973" ht="15.75" customHeight="1">
      <c r="B973" s="27"/>
    </row>
    <row r="974" ht="15.75" customHeight="1">
      <c r="B974" s="27"/>
    </row>
    <row r="975" ht="15.75" customHeight="1">
      <c r="B975" s="27"/>
    </row>
    <row r="976" ht="15.75" customHeight="1">
      <c r="B976" s="27"/>
    </row>
    <row r="977" ht="15.75" customHeight="1">
      <c r="B977" s="27"/>
    </row>
    <row r="978" ht="15.75" customHeight="1">
      <c r="B978" s="27"/>
    </row>
    <row r="979" ht="15.75" customHeight="1">
      <c r="B979" s="27"/>
    </row>
    <row r="980" ht="15.75" customHeight="1">
      <c r="B980" s="27"/>
    </row>
    <row r="981" ht="15.75" customHeight="1">
      <c r="B981" s="27"/>
    </row>
    <row r="982" ht="15.75" customHeight="1">
      <c r="B982" s="27"/>
    </row>
    <row r="983" ht="15.75" customHeight="1">
      <c r="B983" s="27"/>
    </row>
    <row r="984" ht="15.75" customHeight="1">
      <c r="B984" s="27"/>
    </row>
    <row r="985" ht="15.75" customHeight="1">
      <c r="B985" s="27"/>
    </row>
    <row r="986" ht="15.75" customHeight="1">
      <c r="B986" s="27"/>
    </row>
    <row r="987" ht="15.75" customHeight="1">
      <c r="B987" s="27"/>
    </row>
    <row r="988" ht="15.75" customHeight="1">
      <c r="B988" s="27"/>
    </row>
    <row r="989" ht="15.75" customHeight="1">
      <c r="B989" s="27"/>
    </row>
    <row r="990" ht="15.75" customHeight="1">
      <c r="B990" s="27"/>
    </row>
    <row r="991" ht="15.75" customHeight="1">
      <c r="B991" s="27"/>
    </row>
    <row r="992" ht="15.75" customHeight="1">
      <c r="B992" s="27"/>
    </row>
    <row r="993" ht="15.75" customHeight="1">
      <c r="B993" s="27"/>
    </row>
    <row r="994" ht="15.75" customHeight="1">
      <c r="B994" s="27"/>
    </row>
    <row r="995" ht="15.75" customHeight="1">
      <c r="B995" s="27"/>
    </row>
    <row r="996" ht="15.75" customHeight="1">
      <c r="B996" s="27"/>
    </row>
    <row r="997" ht="15.75" customHeight="1">
      <c r="B997" s="27"/>
    </row>
    <row r="998" ht="15.75" customHeight="1">
      <c r="B998" s="27"/>
    </row>
    <row r="999" ht="15.75" customHeight="1">
      <c r="B999" s="27"/>
    </row>
    <row r="1000" ht="15.75" customHeight="1">
      <c r="B1000" s="2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0.78"/>
    <col customWidth="1" min="2" max="2" width="10.56"/>
    <col customWidth="1" min="3" max="3" width="24.0"/>
    <col customWidth="1" min="4" max="4" width="23.11"/>
    <col customWidth="1" min="5" max="5" width="29.11"/>
    <col customWidth="1" min="6" max="6" width="17.78"/>
    <col customWidth="1" min="7" max="26" width="10.56"/>
  </cols>
  <sheetData>
    <row r="1" ht="15.75" customHeight="1">
      <c r="A1" s="23" t="s">
        <v>39</v>
      </c>
      <c r="B1" s="23">
        <v>1206.0</v>
      </c>
      <c r="C1" s="6" t="s">
        <v>108</v>
      </c>
      <c r="D1" s="6"/>
      <c r="E1" s="23" t="s">
        <v>38</v>
      </c>
    </row>
    <row r="2" ht="15.75" customHeight="1">
      <c r="A2" s="23" t="s">
        <v>12</v>
      </c>
      <c r="B2" s="23">
        <v>1206.0</v>
      </c>
      <c r="C2" s="6" t="s">
        <v>109</v>
      </c>
      <c r="D2" s="6"/>
      <c r="E2" s="23" t="s">
        <v>82</v>
      </c>
    </row>
    <row r="3" ht="15.75" customHeight="1">
      <c r="A3" s="23" t="s">
        <v>42</v>
      </c>
      <c r="B3" s="23">
        <v>1217.0</v>
      </c>
      <c r="C3" s="6" t="s">
        <v>110</v>
      </c>
      <c r="D3" s="6"/>
      <c r="E3" s="23" t="s">
        <v>41</v>
      </c>
    </row>
    <row r="4" ht="15.75" customHeight="1">
      <c r="A4" s="23" t="s">
        <v>45</v>
      </c>
      <c r="B4" s="23">
        <v>1217.0</v>
      </c>
      <c r="C4" s="6" t="s">
        <v>111</v>
      </c>
      <c r="D4" s="6"/>
      <c r="E4" s="23" t="s">
        <v>44</v>
      </c>
    </row>
    <row r="5" ht="15.75" customHeight="1">
      <c r="A5" s="23" t="s">
        <v>48</v>
      </c>
      <c r="B5" s="23">
        <v>1206.0</v>
      </c>
      <c r="C5" s="6" t="s">
        <v>112</v>
      </c>
      <c r="D5" s="6"/>
      <c r="E5" s="23" t="s">
        <v>47</v>
      </c>
    </row>
    <row r="6" ht="15.75" customHeight="1">
      <c r="A6" s="23" t="s">
        <v>24</v>
      </c>
      <c r="B6" s="23">
        <v>1206.0</v>
      </c>
      <c r="C6" s="6" t="s">
        <v>113</v>
      </c>
      <c r="D6" s="6"/>
      <c r="E6" s="23" t="s">
        <v>87</v>
      </c>
    </row>
    <row r="7" ht="15.75" customHeight="1">
      <c r="A7" s="23" t="s">
        <v>51</v>
      </c>
      <c r="B7" s="23">
        <v>1218.0</v>
      </c>
      <c r="C7" s="26" t="s">
        <v>114</v>
      </c>
      <c r="D7" s="26"/>
      <c r="E7" s="23" t="s">
        <v>50</v>
      </c>
    </row>
    <row r="8" ht="15.75" customHeight="1">
      <c r="A8" s="23" t="s">
        <v>54</v>
      </c>
      <c r="B8" s="23">
        <v>1176.0</v>
      </c>
      <c r="C8" s="6" t="s">
        <v>55</v>
      </c>
      <c r="D8" s="6"/>
      <c r="E8" s="23" t="s">
        <v>53</v>
      </c>
    </row>
    <row r="9" ht="15.75" customHeight="1">
      <c r="A9" s="23" t="s">
        <v>57</v>
      </c>
      <c r="B9" s="23">
        <v>1232.0</v>
      </c>
      <c r="C9" s="6" t="s">
        <v>115</v>
      </c>
      <c r="D9" s="6"/>
      <c r="E9" s="23" t="s">
        <v>56</v>
      </c>
    </row>
    <row r="10" ht="15.75" customHeight="1">
      <c r="A10" s="23" t="s">
        <v>60</v>
      </c>
      <c r="B10" s="23">
        <v>1204.0</v>
      </c>
      <c r="C10" s="6" t="s">
        <v>116</v>
      </c>
      <c r="D10" s="6"/>
      <c r="E10" s="23" t="s">
        <v>59</v>
      </c>
    </row>
    <row r="11" ht="15.75" customHeight="1">
      <c r="A11" s="23" t="s">
        <v>62</v>
      </c>
      <c r="B11" s="23">
        <v>1171.0</v>
      </c>
      <c r="C11" s="6" t="s">
        <v>91</v>
      </c>
      <c r="D11" s="6"/>
      <c r="E11" s="23" t="s">
        <v>62</v>
      </c>
    </row>
    <row r="12" ht="15.75" customHeight="1">
      <c r="A12" s="23" t="s">
        <v>92</v>
      </c>
      <c r="B12" s="23">
        <v>1207.0</v>
      </c>
      <c r="C12" s="6" t="s">
        <v>117</v>
      </c>
      <c r="D12" s="6" t="s">
        <v>94</v>
      </c>
      <c r="E12" s="23" t="s">
        <v>65</v>
      </c>
    </row>
    <row r="13" ht="15.75" customHeight="1">
      <c r="A13" s="23" t="s">
        <v>95</v>
      </c>
      <c r="B13" s="23">
        <v>1207.0</v>
      </c>
      <c r="C13" s="6" t="s">
        <v>118</v>
      </c>
      <c r="D13" s="6" t="s">
        <v>97</v>
      </c>
      <c r="E13" s="23" t="s">
        <v>67</v>
      </c>
    </row>
    <row r="14" ht="15.75" customHeight="1">
      <c r="A14" s="23" t="s">
        <v>98</v>
      </c>
      <c r="B14" s="23">
        <v>1207.0</v>
      </c>
      <c r="C14" s="6" t="s">
        <v>70</v>
      </c>
      <c r="D14" s="6" t="s">
        <v>99</v>
      </c>
      <c r="E14" s="23" t="s">
        <v>100</v>
      </c>
    </row>
    <row r="15" ht="15.75" customHeight="1">
      <c r="A15" s="23" t="s">
        <v>101</v>
      </c>
      <c r="B15" s="23">
        <v>1207.0</v>
      </c>
      <c r="C15" s="6" t="s">
        <v>119</v>
      </c>
      <c r="D15" s="6" t="s">
        <v>103</v>
      </c>
      <c r="E15" s="23" t="s">
        <v>104</v>
      </c>
    </row>
    <row r="16" ht="15.75" customHeight="1">
      <c r="A16" s="23" t="s">
        <v>15</v>
      </c>
      <c r="B16" s="23">
        <v>1207.0</v>
      </c>
      <c r="C16" s="6" t="s">
        <v>120</v>
      </c>
      <c r="D16" s="6" t="s">
        <v>106</v>
      </c>
      <c r="E16" s="23" t="s">
        <v>107</v>
      </c>
    </row>
    <row r="17" ht="15.75" customHeight="1">
      <c r="C17" s="28" t="s">
        <v>121</v>
      </c>
      <c r="D17" s="18" t="s">
        <v>122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2025-03-27T06:04:01Z</dcterms:created>
  <dc:creator>Constanze</dc:creator>
</cp:coreProperties>
</file>